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xr:revisionPtr revIDLastSave="0" documentId="13_ncr:1_{84305CEF-F6ED-294D-A1BF-A1D897B24E7E}" xr6:coauthVersionLast="47" xr6:coauthVersionMax="47" xr10:uidLastSave="{00000000-0000-0000-0000-000000000000}"/>
  <bookViews>
    <workbookView xWindow="0" yWindow="600" windowWidth="28800" windowHeight="16060" xr2:uid="{C4273654-4867-1941-B027-2D844191C07C}"/>
  </bookViews>
  <sheets>
    <sheet name="Case Study Structure" sheetId="2" r:id="rId1"/>
    <sheet name="Monday Morning Payroll Week 1" sheetId="1" r:id="rId2"/>
    <sheet name="The Overtime Spike Week 3" sheetId="4" r:id="rId3"/>
    <sheet name="Payroll Doesn't Balance Week 5" sheetId="5" r:id="rId4"/>
    <sheet name="Missing Meal Premiums Week 7" sheetId="6" r:id="rId5"/>
    <sheet name="The Bonus Question Week 9" sheetId="7" r:id="rId6"/>
    <sheet name="Employee Says Pay Wrong Week 11" sheetId="8" r:id="rId7"/>
    <sheet name="Executive Payroll Review" sheetId="9" r:id="rId8"/>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40" i="4" l="1"/>
  <c r="A40" i="4"/>
  <c r="F65" i="8"/>
  <c r="F66" i="8" s="1"/>
  <c r="I61" i="8"/>
  <c r="E55" i="7"/>
  <c r="E56" i="7"/>
  <c r="E57" i="7"/>
  <c r="E58" i="7"/>
  <c r="E59" i="7"/>
  <c r="E54" i="7"/>
  <c r="C55" i="7"/>
  <c r="H55" i="7" s="1"/>
  <c r="C56" i="7"/>
  <c r="H56" i="7" s="1"/>
  <c r="C57" i="7"/>
  <c r="H57" i="7" s="1"/>
  <c r="C58" i="7"/>
  <c r="H58" i="7" s="1"/>
  <c r="C59" i="7"/>
  <c r="H59" i="7" s="1"/>
  <c r="C54" i="7"/>
  <c r="H54" i="7" s="1"/>
  <c r="D74" i="6"/>
  <c r="C88" i="5"/>
  <c r="C95" i="5"/>
  <c r="C73" i="5"/>
  <c r="D63" i="5"/>
  <c r="D64" i="5"/>
  <c r="D62" i="5"/>
  <c r="C65" i="5"/>
  <c r="B65" i="5"/>
  <c r="G77" i="4"/>
  <c r="F77" i="4"/>
  <c r="G75" i="4"/>
  <c r="F75" i="4"/>
  <c r="B71" i="4"/>
  <c r="C71" i="4"/>
  <c r="G71" i="4"/>
  <c r="B76" i="4" s="1"/>
  <c r="F71" i="4"/>
  <c r="B75" i="4" s="1"/>
  <c r="D71" i="4"/>
  <c r="J64" i="4" s="1"/>
  <c r="E64" i="4"/>
  <c r="E65" i="4"/>
  <c r="E66" i="4"/>
  <c r="E67" i="4"/>
  <c r="E68" i="4"/>
  <c r="E69" i="4"/>
  <c r="E70" i="4"/>
  <c r="H65" i="4"/>
  <c r="I65" i="4" s="1"/>
  <c r="H66" i="4"/>
  <c r="I66" i="4" s="1"/>
  <c r="H67" i="4"/>
  <c r="I67" i="4" s="1"/>
  <c r="H68" i="4"/>
  <c r="I68" i="4" s="1"/>
  <c r="H69" i="4"/>
  <c r="I69" i="4" s="1"/>
  <c r="H70" i="4"/>
  <c r="I70" i="4" s="1"/>
  <c r="H64" i="4"/>
  <c r="I64" i="4" s="1"/>
  <c r="D65" i="5" l="1"/>
  <c r="C75" i="4"/>
  <c r="D75" i="4" s="1"/>
  <c r="F79" i="4"/>
  <c r="G79" i="4"/>
  <c r="J65" i="4"/>
  <c r="J66" i="4"/>
  <c r="J69" i="4"/>
  <c r="J70" i="4"/>
  <c r="J67" i="4"/>
  <c r="J68" i="4"/>
  <c r="E71" i="4"/>
  <c r="H71" i="4"/>
  <c r="I71" i="4" s="1"/>
</calcChain>
</file>

<file path=xl/sharedStrings.xml><?xml version="1.0" encoding="utf-8"?>
<sst xmlns="http://schemas.openxmlformats.org/spreadsheetml/2006/main" count="888" uniqueCount="535">
  <si>
    <t>Employee ID</t>
  </si>
  <si>
    <t>Employee</t>
  </si>
  <si>
    <t>Department</t>
  </si>
  <si>
    <t>Location</t>
  </si>
  <si>
    <t>Status</t>
  </si>
  <si>
    <t>Pay Type</t>
  </si>
  <si>
    <t>Regular Hours</t>
  </si>
  <si>
    <t>OT Hours</t>
  </si>
  <si>
    <t>Hourly Rate</t>
  </si>
  <si>
    <t>Gross Pay</t>
  </si>
  <si>
    <t>Maria Lopez</t>
  </si>
  <si>
    <t>Manufacturing</t>
  </si>
  <si>
    <t>San Marcos, CA</t>
  </si>
  <si>
    <t>Active</t>
  </si>
  <si>
    <t>Hourly</t>
  </si>
  <si>
    <t>James Carter</t>
  </si>
  <si>
    <t>Engineering</t>
  </si>
  <si>
    <t>Carlsbad, CA</t>
  </si>
  <si>
    <t>Kevin Patel</t>
  </si>
  <si>
    <t>Rachel Kim</t>
  </si>
  <si>
    <t>Quality Assurance</t>
  </si>
  <si>
    <t>Escondido, CA</t>
  </si>
  <si>
    <t>Salary</t>
  </si>
  <si>
    <t>—</t>
  </si>
  <si>
    <t>David Nguyen</t>
  </si>
  <si>
    <t>Ashley Brown</t>
  </si>
  <si>
    <t>HR</t>
  </si>
  <si>
    <t>Michael Reed</t>
  </si>
  <si>
    <t>Operations</t>
  </si>
  <si>
    <t>Riverside, CA</t>
  </si>
  <si>
    <t>Sophia Martinez</t>
  </si>
  <si>
    <t>Daniel Lee</t>
  </si>
  <si>
    <t>Leave of Absence</t>
  </si>
  <si>
    <t>Emily Davis</t>
  </si>
  <si>
    <t>Finance</t>
  </si>
  <si>
    <t>Cypress Manufacturing Payroll Register</t>
  </si>
  <si>
    <t>Pay Period: July 13–July 26, 2026</t>
  </si>
  <si>
    <r>
      <t>From:</t>
    </r>
    <r>
      <rPr>
        <sz val="12"/>
        <color theme="1"/>
        <rFont val="Aptos Narrow"/>
        <family val="2"/>
        <scheme val="minor"/>
      </rPr>
      <t xml:space="preserve"> Sarah Mitchell, Payroll Manager</t>
    </r>
  </si>
  <si>
    <t>Good morning,</t>
  </si>
  <si>
    <t>Once completed, send me your audit summary.</t>
  </si>
  <si>
    <t>Thanks,</t>
  </si>
  <si>
    <t>Sarah</t>
  </si>
  <si>
    <t>Cypress Manufacturing</t>
  </si>
  <si>
    <t>Additional Notes Available in ADP</t>
  </si>
  <si>
    <t>Employee 10934 – Kevin Patel</t>
  </si>
  <si>
    <t>"Production team requested additional weekend coverage due to customer deadline."</t>
  </si>
  <si>
    <t>Employee 11602 – Michael Reed</t>
  </si>
  <si>
    <t>No notes attached.</t>
  </si>
  <si>
    <t>Employee 11876 – Daniel Lee</t>
  </si>
  <si>
    <t>HR record:</t>
  </si>
  <si>
    <t>Leave of absence began July 15, 2026.</t>
  </si>
  <si>
    <t>Employee 11345 – David Nguyen</t>
  </si>
  <si>
    <t>Observation</t>
  </si>
  <si>
    <t>Why It Matters</t>
  </si>
  <si>
    <t>Recommended Next Step</t>
  </si>
  <si>
    <t>Priority</t>
  </si>
  <si>
    <t>Payroll Audit Log</t>
  </si>
  <si>
    <t>No Approval Stated</t>
  </si>
  <si>
    <t>Confirm OT hours</t>
  </si>
  <si>
    <t>Large OT hours</t>
  </si>
  <si>
    <t>OT hours</t>
  </si>
  <si>
    <t>Total</t>
  </si>
  <si>
    <t>Medium</t>
  </si>
  <si>
    <t>Low Hours</t>
  </si>
  <si>
    <t>Missed hours?</t>
  </si>
  <si>
    <t>Low</t>
  </si>
  <si>
    <t>Investigate timecard, missing shift?</t>
  </si>
  <si>
    <t>None</t>
  </si>
  <si>
    <t>Industry</t>
  </si>
  <si>
    <t>Medical Device Manufacturing</t>
  </si>
  <si>
    <t>Software</t>
  </si>
  <si>
    <t>Excel, ADP Workforce Now (simulated)</t>
  </si>
  <si>
    <t>Payroll Audit Summary</t>
  </si>
  <si>
    <t>Executive Summary</t>
  </si>
  <si>
    <t>Findings</t>
  </si>
  <si>
    <t>High Priority</t>
  </si>
  <si>
    <t>Daniel Lee (Employee ID 11876)</t>
  </si>
  <si>
    <t>Recommended Action</t>
  </si>
  <si>
    <t>Medium Priority</t>
  </si>
  <si>
    <t>Low Priority</t>
  </si>
  <si>
    <t>Overall Assessment</t>
  </si>
  <si>
    <t>Lessons Learned</t>
  </si>
  <si>
    <t>Raw Data:</t>
  </si>
  <si>
    <t>Working Area:</t>
  </si>
  <si>
    <t>Deliverables:</t>
  </si>
  <si>
    <t>No widespread payroll issues were identified during the preliminary review. The majority of employees appear to have accurate payroll records. The primary area requiring follow-up involves overtime verification and one significant discrepancy involving an employee currently on a leave of absence who is scheduled to receive gross pay despite reporting zero hours worked. Pending confirmation of the items identified above, the payroll register appears ready to proceed through the standard payroll approval process.</t>
  </si>
  <si>
    <t>Verify leave status, confirm pay eligibility during leave, review payroll calculation prior to payroll approval</t>
  </si>
  <si>
    <t xml:space="preserve">All the following employees overtime hours require manager approval. </t>
  </si>
  <si>
    <t>32 overtime hours were reported during the pay period. Supporting documentation references additional weekend production coverage related to a customer deadline, while the explanation appears reasonable, overtime approval and reported hours should be verified before payroll processing.</t>
  </si>
  <si>
    <t>18 overtime hours were reported without supporting documentation attached to the payroll record.</t>
  </si>
  <si>
    <t>6 overtime hours were reported, even though this is a small amount still requires manager approval.</t>
  </si>
  <si>
    <t>4 overtime hours were reported, small amount but still requires manager approval and verification.</t>
  </si>
  <si>
    <t>The employee reported 76 regular hours during the pay period with no accompanying notes explaining the reduced hours. Although this may represent approved unpaid leave or a missed shift, the variance from a standard 80-hour pay period should be confirmed to ensure payroll accuracy.</t>
  </si>
  <si>
    <t>Hourly worker working 0 hours but receiving gross pay</t>
  </si>
  <si>
    <t>Paid for 0 hours, contradictory information</t>
  </si>
  <si>
    <t>Background</t>
  </si>
  <si>
    <t>Finance noticed:</t>
  </si>
  <si>
    <t>Payroll</t>
  </si>
  <si>
    <t>Overtime Cost</t>
  </si>
  <si>
    <t>Previous Pay Period</t>
  </si>
  <si>
    <t>Current Pay Period</t>
  </si>
  <si>
    <t>Increase:</t>
  </si>
  <si>
    <t>Finance wants an explanation before the monthly leadership meeting.</t>
  </si>
  <si>
    <t>Supporting Information</t>
  </si>
  <si>
    <t>You also receive an email from the Manufacturing Manager.</t>
  </si>
  <si>
    <t>We had two large customer orders ship this pay period.</t>
  </si>
  <si>
    <t>Engineering also worked additional hours supporting final product validation.</t>
  </si>
  <si>
    <t>We intentionally approved overtime instead of hiring temporary workers.</t>
  </si>
  <si>
    <t>There were no known payroll issues reported by department managers.</t>
  </si>
  <si>
    <t>Payroll Summary by Department</t>
  </si>
  <si>
    <t>Previous OT Hours</t>
  </si>
  <si>
    <t>Current OT Hours</t>
  </si>
  <si>
    <t>Change</t>
  </si>
  <si>
    <t>Previous OT Cost</t>
  </si>
  <si>
    <t>Current OT Cost</t>
  </si>
  <si>
    <t>Human Resources</t>
  </si>
  <si>
    <t>IT</t>
  </si>
  <si>
    <t>Additional Notes</t>
  </si>
  <si>
    <t>Two major customer orders shipped this pay period.</t>
  </si>
  <si>
    <r>
      <t xml:space="preserve">Three employees each exceeded </t>
    </r>
    <r>
      <rPr>
        <b/>
        <sz val="12"/>
        <color theme="1"/>
        <rFont val="Aptos Narrow"/>
        <family val="2"/>
        <scheme val="minor"/>
      </rPr>
      <t>30 overtime hours</t>
    </r>
    <r>
      <rPr>
        <sz val="12"/>
        <color theme="1"/>
        <rFont val="Aptos Narrow"/>
        <family val="2"/>
        <scheme val="minor"/>
      </rPr>
      <t>.</t>
    </r>
  </si>
  <si>
    <t>All overtime has documented manager approval.</t>
  </si>
  <si>
    <t>Product launch scheduled next month.</t>
  </si>
  <si>
    <t>Weekend testing completed.</t>
  </si>
  <si>
    <r>
      <t xml:space="preserve">One engineer worked </t>
    </r>
    <r>
      <rPr>
        <b/>
        <sz val="12"/>
        <color theme="1"/>
        <rFont val="Aptos Narrow"/>
        <family val="2"/>
        <scheme val="minor"/>
      </rPr>
      <t>42 overtime hours</t>
    </r>
    <r>
      <rPr>
        <sz val="12"/>
        <color theme="1"/>
        <rFont val="Aptos Narrow"/>
        <family val="2"/>
        <scheme val="minor"/>
      </rPr>
      <t>.</t>
    </r>
  </si>
  <si>
    <t>No unusual activity.</t>
  </si>
  <si>
    <t>Variance Analysis</t>
  </si>
  <si>
    <t>OT Variance</t>
  </si>
  <si>
    <t>OT Cost Variance</t>
  </si>
  <si>
    <t>Notes</t>
  </si>
  <si>
    <t>Extra weekend hours, 1 employee 42 OT hours (also &gt;30), approval not confirmed</t>
  </si>
  <si>
    <t>No unusual activity</t>
  </si>
  <si>
    <t>N/A</t>
  </si>
  <si>
    <t>Alerted 3 employees exceeded 30 OT hours, approval confirmed. Manager mentioned intentionally using OT instead of hiring temps</t>
  </si>
  <si>
    <t>TOTAL</t>
  </si>
  <si>
    <t>Prepared by: Martha Fields-Cypress</t>
  </si>
  <si>
    <r>
      <rPr>
        <b/>
        <sz val="12"/>
        <color theme="1"/>
        <rFont val="Aptos Narrow"/>
        <scheme val="minor"/>
      </rPr>
      <t>Prepared by</t>
    </r>
    <r>
      <rPr>
        <sz val="12"/>
        <color theme="1"/>
        <rFont val="Aptos Narrow"/>
        <family val="2"/>
        <scheme val="minor"/>
      </rPr>
      <t>: Martha Fields-Cypress</t>
    </r>
  </si>
  <si>
    <t>Executive Summary &amp; Recommendations</t>
  </si>
  <si>
    <t>Variance</t>
  </si>
  <si>
    <t>%</t>
  </si>
  <si>
    <t>Others OT Cost</t>
  </si>
  <si>
    <t>Payroll Register Summary</t>
  </si>
  <si>
    <t>Category</t>
  </si>
  <si>
    <t>Amount</t>
  </si>
  <si>
    <t>Gross Wages</t>
  </si>
  <si>
    <t>Employer Payroll Taxes</t>
  </si>
  <si>
    <t>Employer Benefits</t>
  </si>
  <si>
    <t>Total Payroll Expense</t>
  </si>
  <si>
    <t>General Ledger Payroll Posting</t>
  </si>
  <si>
    <t>Account</t>
  </si>
  <si>
    <t>Wages Expense</t>
  </si>
  <si>
    <t>Employer Benefits Expense</t>
  </si>
  <si>
    <t>Initial Variance</t>
  </si>
  <si>
    <t>Difference: $2,400.00</t>
  </si>
  <si>
    <t>Finance Notes</t>
  </si>
  <si>
    <t>Benefits Team Email</t>
  </si>
  <si>
    <t>Health insurance deductions for one newly enrolled employee were processed during payroll.</t>
  </si>
  <si>
    <t>The benefits invoice has not yet been received.</t>
  </si>
  <si>
    <t>Accounting Note</t>
  </si>
  <si>
    <t>Employer benefit accruals are entered after vendor invoices are received.</t>
  </si>
  <si>
    <t>Payroll Note</t>
  </si>
  <si>
    <t>No payroll processing errors were reported during payroll calculation.</t>
  </si>
  <si>
    <t>Additional Information</t>
  </si>
  <si>
    <t>Benefits Enrollment Changes</t>
  </si>
  <si>
    <t>Effective Date</t>
  </si>
  <si>
    <t>Employer Monthly Contribution</t>
  </si>
  <si>
    <t>Reconciliation Report</t>
  </si>
  <si>
    <t>San Marcos, California</t>
  </si>
  <si>
    <t>Headquarters</t>
  </si>
  <si>
    <t>Pay Frequency</t>
  </si>
  <si>
    <t>Biweekly</t>
  </si>
  <si>
    <t>Monday, August 10, 2026</t>
  </si>
  <si>
    <t>Nice work on your first payroll audit.</t>
  </si>
  <si>
    <t>Finance reached out this morning because overtime costs increased significantly compared to the previous payroll.</t>
  </si>
  <si>
    <r>
      <t xml:space="preserve">At this point, no one is suggesting the payroll is incorrect. They simply want to understand </t>
    </r>
    <r>
      <rPr>
        <i/>
        <sz val="12"/>
        <color theme="1"/>
        <rFont val="Aptos Narrow"/>
        <family val="2"/>
        <scheme val="minor"/>
      </rPr>
      <t>why</t>
    </r>
    <r>
      <rPr>
        <sz val="12"/>
        <color theme="1"/>
        <rFont val="Aptos Narrow"/>
        <family val="2"/>
        <scheme val="minor"/>
      </rPr>
      <t xml:space="preserve"> overtime costs increased and whether there are any trends we should be aware of.</t>
    </r>
  </si>
  <si>
    <t>Please review the attached reports and prepare a short summary explaining what you believe is driving the increase. If anything appears unusual enough to require additional investigation, include your recommendations.</t>
  </si>
  <si>
    <t>Remember, our goal is to explain the data, not just describe it.</t>
  </si>
  <si>
    <t>Welcome to the payroll team. Before we finalize today's payroll, I'd like you to complete your first payroll register review. Attached is the preliminary payroll register from ADP. Please review the data and identify anything that requires additional investigation.</t>
  </si>
  <si>
    <t>A few reminders: do not assume unusual means incorrect, focus on items that could create employee impact, compliance concerns, or financial inaccuracies, and document your reasoning.</t>
  </si>
  <si>
    <t>Please provide: Employees requiring review, reason for review, priority level, and recommended next step.</t>
  </si>
  <si>
    <t>Monday, August 24, 2026</t>
  </si>
  <si>
    <t>Finance is performing the month-end close and has identified a discrepancy between the payroll register and the payroll journal that was posted to the General Ledger.</t>
  </si>
  <si>
    <t>Before Accounting begins adjusting entries, we'd like Payroll to determine whether this difference is expected or if additional investigation is required.</t>
  </si>
  <si>
    <t>Please review the attached reports and document your findings.</t>
  </si>
  <si>
    <t>Specifically, I'd like you to:</t>
  </si>
  <si>
    <t>• Determine the amount of the variance</t>
  </si>
  <si>
    <t>• Identify possible causes</t>
  </si>
  <si>
    <t>• Recommend any additional review or corrective action</t>
  </si>
  <si>
    <t>We aren't looking for someone to guess. We need a logical investigation supported by the available information.</t>
  </si>
  <si>
    <t>Email Assignment:</t>
  </si>
  <si>
    <t>Payroll Register Amount</t>
  </si>
  <si>
    <t>GL Posting Amount</t>
  </si>
  <si>
    <t>Employer Benefits (Expense)</t>
  </si>
  <si>
    <t>Gross Wages (Wage Expense)</t>
  </si>
  <si>
    <t>Employer Benefit (Expense)</t>
  </si>
  <si>
    <t>Outstanding Items</t>
  </si>
  <si>
    <t>**The benefits invoice has not yet been received.</t>
  </si>
  <si>
    <t>**Employer benefit accruals are entered after vendor invoices are received.</t>
  </si>
  <si>
    <t>**No payroll processing errors were reported during payroll calculation.</t>
  </si>
  <si>
    <t>Conclusion/Next Steps</t>
  </si>
  <si>
    <t>Monday, September 7, 2026</t>
  </si>
  <si>
    <t>I'd like you to determine:</t>
  </si>
  <si>
    <t>Which employees require review?</t>
  </si>
  <si>
    <t>Whether a meal-period premium appears to be owed.</t>
  </si>
  <si>
    <t>Whether any premiums appear to be missing from payroll.</t>
  </si>
  <si>
    <t>Whether you see a broader pattern that Payroll or HR should address.</t>
  </si>
  <si>
    <t>Please document your findings and recommendations.</t>
  </si>
  <si>
    <t>HR received a question from a Manufacturing employee regarding a missed meal break during the last pay period. Before we respond, I'd like you to review the attached meal-break exception report and determine whether there are additional employees who may have been affected. Please don't assume every exception represents a payroll error. Some exceptions may have been properly documented or may have another explanation.</t>
  </si>
  <si>
    <t>Meal-Break Exception Report</t>
  </si>
  <si>
    <r>
      <t>Pay Period:</t>
    </r>
    <r>
      <rPr>
        <sz val="12"/>
        <color theme="1"/>
        <rFont val="Aptos Narrow"/>
        <family val="2"/>
        <scheme val="minor"/>
      </rPr>
      <t xml:space="preserve"> August 24 – September 6, 2026</t>
    </r>
  </si>
  <si>
    <t>Date</t>
  </si>
  <si>
    <t>Shift Hours</t>
  </si>
  <si>
    <t>Meal Break</t>
  </si>
  <si>
    <t>Premium Paid</t>
  </si>
  <si>
    <t>Missing</t>
  </si>
  <si>
    <t>No</t>
  </si>
  <si>
    <t>No note</t>
  </si>
  <si>
    <t>Taken</t>
  </si>
  <si>
    <t>Production deadline</t>
  </si>
  <si>
    <t>Yes</t>
  </si>
  <si>
    <t>Employee worked through lunch</t>
  </si>
  <si>
    <t>Break recorded incorrectly</t>
  </si>
  <si>
    <t>Manager note attached</t>
  </si>
  <si>
    <t>Leave returned 9/1</t>
  </si>
  <si>
    <t>Employee Pay Rates</t>
  </si>
  <si>
    <t>Regular Hourly Rate</t>
  </si>
  <si>
    <t>$5,200 salary</t>
  </si>
  <si>
    <t>Manager Notes</t>
  </si>
  <si>
    <t>Employee remained on production floor during lunch due to customer shipment deadline. Manager approved extended production coverage.</t>
  </si>
  <si>
    <t>Employee's meal period was interrupted by an urgent equipment issue. Employee returned to work after responding to the issue.</t>
  </si>
  <si>
    <t>Employee returned from leave September 1. Employee worked extended shifts during first week back to assist with production backlog.</t>
  </si>
  <si>
    <t>Payroll Detail</t>
  </si>
  <si>
    <t>Review of the current payroll shows:</t>
  </si>
  <si>
    <t>Meal Premium Earnings</t>
  </si>
  <si>
    <t>Everyone else</t>
  </si>
  <si>
    <t>Exception</t>
  </si>
  <si>
    <t>Evidence</t>
  </si>
  <si>
    <t>Does It Require Review?</t>
  </si>
  <si>
    <t>Potential Premium</t>
  </si>
  <si>
    <t>Questions</t>
  </si>
  <si>
    <t>To: Sarah Mitchell, Payroll Manager</t>
  </si>
  <si>
    <t>-</t>
  </si>
  <si>
    <t>8/31 missing meal break, 8.5 hr shift</t>
  </si>
  <si>
    <t>8/25 missing meal break, 9.5 hr shift</t>
  </si>
  <si>
    <t>8/27 missing meal break, 10 hr shift</t>
  </si>
  <si>
    <t>8/28 missing meal break, 9 hr shift</t>
  </si>
  <si>
    <t>9/2 missing meal break, 11 hr shift</t>
  </si>
  <si>
    <t xml:space="preserve">9/3 9 hr shift - </t>
  </si>
  <si>
    <t xml:space="preserve">8/26 8 hr shift - </t>
  </si>
  <si>
    <t>9/4 missing meal break, 9.25 hr shift</t>
  </si>
  <si>
    <t>9/4 missing meal break, 12.25 hr shift</t>
  </si>
  <si>
    <t>Manager note, approved extended production coverage</t>
  </si>
  <si>
    <t>Manager note, meal was interrupted employee returned to work after responding to issue</t>
  </si>
  <si>
    <t xml:space="preserve">Manager note, employee returned from leave 9/1, extended shifts during first week back </t>
  </si>
  <si>
    <t>Break taken</t>
  </si>
  <si>
    <t>No Note</t>
  </si>
  <si>
    <t>TBD</t>
  </si>
  <si>
    <t>9/1 missing meal break</t>
  </si>
  <si>
    <t>Did they get their remaining break during shift?</t>
  </si>
  <si>
    <t xml:space="preserve">Upon review of the provided information 7 employees require further review. Listed below are the employees that have potential missing premiums: </t>
  </si>
  <si>
    <t>Correctly paid?</t>
  </si>
  <si>
    <t>Maria Lopez, no meal break &amp; 9.5 hr shift</t>
  </si>
  <si>
    <t>Kevin Patel, no meal break &amp; 10 hr shift</t>
  </si>
  <si>
    <t>David Nguyen, no meal break &amp; 8.5 hr shift</t>
  </si>
  <si>
    <t>Ashley Brown, TBD</t>
  </si>
  <si>
    <t>Michael Reed, no meal break &amp; 11 hr shift</t>
  </si>
  <si>
    <t>Daniel Lee, no meal break &amp; 12.25 hr shift</t>
  </si>
  <si>
    <t xml:space="preserve">Overall, managers and break records need to become more specific and accurate in order to minimize this issue moving forward. </t>
  </si>
  <si>
    <t>**Rachel Kim, no meal break &amp; 9 hr shift (premium paid)</t>
  </si>
  <si>
    <t>Recommend reviewing all the of the listed employees time records in order to correctly document meal breaks and meal premium qualifications. Payroll will need to correct missing meal premiums for each affected employee. Suggest looking further into meal premiums, and the quality of managers notes and break documentation. This issue affects employees from various departments, should look into all possible affected areas within the company.</t>
  </si>
  <si>
    <t xml:space="preserve">While 7 employees need further review from the information provided, the managers notes explain what may have occurred during the employees shift they do not provide definitive notes on if the employee is due a meal premium or not. </t>
  </si>
  <si>
    <t>Monday, September 21, 2026</t>
  </si>
  <si>
    <t>Subject: Bonus Payroll Review</t>
  </si>
  <si>
    <t>Finance approved the annual performance bonuses for several employees, and the bonuses were included in this week's payroll.</t>
  </si>
  <si>
    <t>HR has already received two questions from employees who believe their bonus payments were incorrect because their net pay was substantially lower than expected.</t>
  </si>
  <si>
    <t>I'd like you to review the bonus payroll and determine whether the differences appear to be payroll errors or whether they can be explained by normal payroll deductions and withholding.</t>
  </si>
  <si>
    <t>Please identify any records that require additional investigation.</t>
  </si>
  <si>
    <t>I'd also like a short recommendation for how Payroll should respond to employee questions about bonus payments.</t>
  </si>
  <si>
    <t>Cypress Manufacturing issued annual performance bonuses to six employees.</t>
  </si>
  <si>
    <t>The bonuses were processed through the regular payroll system.</t>
  </si>
  <si>
    <r>
      <t xml:space="preserve">Employees were provided the </t>
    </r>
    <r>
      <rPr>
        <b/>
        <sz val="12"/>
        <color theme="1"/>
        <rFont val="Aptos Narrow"/>
        <family val="2"/>
        <scheme val="minor"/>
      </rPr>
      <t>gross bonus amount</t>
    </r>
    <r>
      <rPr>
        <sz val="12"/>
        <color theme="1"/>
        <rFont val="Aptos Narrow"/>
        <family val="2"/>
        <scheme val="minor"/>
      </rPr>
      <t xml:space="preserve"> in their bonus letters.</t>
    </r>
  </si>
  <si>
    <t>Several employees expected their bank deposits to be close to that amount.</t>
  </si>
  <si>
    <t>They weren't.</t>
  </si>
  <si>
    <t>Bonus Register</t>
  </si>
  <si>
    <t>Annual Salary</t>
  </si>
  <si>
    <t>Gross Bonus</t>
  </si>
  <si>
    <t>Payroll Results</t>
  </si>
  <si>
    <t>Federal Withholding</t>
  </si>
  <si>
    <t>CA Withholding</t>
  </si>
  <si>
    <t>Social Security</t>
  </si>
  <si>
    <t>Medicare</t>
  </si>
  <si>
    <t>Other Deductions</t>
  </si>
  <si>
    <t>Net Bonus</t>
  </si>
  <si>
    <t>Employee Questions</t>
  </si>
  <si>
    <t>Employee 1</t>
  </si>
  <si>
    <t>"My bonus was supposed to be $18,000, but I only received $9,663. Something is wrong with my paycheck."</t>
  </si>
  <si>
    <t>Employee 2</t>
  </si>
  <si>
    <t>"My $12,000 bonus turned into $6,742. Why did Payroll take more than $5,000?"</t>
  </si>
  <si>
    <t>Company Payroll Information</t>
  </si>
  <si>
    <r>
      <t xml:space="preserve">Bonuses are treated as </t>
    </r>
    <r>
      <rPr>
        <b/>
        <sz val="12"/>
        <color theme="1"/>
        <rFont val="Aptos Narrow"/>
        <family val="2"/>
        <scheme val="minor"/>
      </rPr>
      <t>supplemental wages</t>
    </r>
    <r>
      <rPr>
        <sz val="12"/>
        <color theme="1"/>
        <rFont val="Aptos Narrow"/>
        <family val="2"/>
        <scheme val="minor"/>
      </rPr>
      <t>.</t>
    </r>
  </si>
  <si>
    <t>Payroll withholds applicable federal and California taxes.</t>
  </si>
  <si>
    <t>Social Security and Medicare taxes apply where applicable.</t>
  </si>
  <si>
    <t>Employee benefit deductions may also apply depending on the employee's elections.</t>
  </si>
  <si>
    <r>
      <t xml:space="preserve">The bonus letter communicates the </t>
    </r>
    <r>
      <rPr>
        <b/>
        <sz val="12"/>
        <color theme="1"/>
        <rFont val="Aptos Narrow"/>
        <family val="2"/>
        <scheme val="minor"/>
      </rPr>
      <t>gross bonus</t>
    </r>
    <r>
      <rPr>
        <sz val="12"/>
        <color theme="1"/>
        <rFont val="Aptos Narrow"/>
        <family val="2"/>
        <scheme val="minor"/>
      </rPr>
      <t>, not the expected net payment.</t>
    </r>
  </si>
  <si>
    <t>Total Withholding/Deductions</t>
  </si>
  <si>
    <t>% of Bonus Received</t>
  </si>
  <si>
    <t>Initial Assessment</t>
  </si>
  <si>
    <t>Prepared By: Martha Fields-Cypress</t>
  </si>
  <si>
    <t>To Sarah Mitchell</t>
  </si>
  <si>
    <t>standard deductions</t>
  </si>
  <si>
    <t>additional deductions</t>
  </si>
  <si>
    <t>Net + Withholding/Deductions (Check)</t>
  </si>
  <si>
    <t xml:space="preserve">Payroll should provide a complete breakdown of deduction and withholding amounts to the employee so the amounts are transparent. Any questions about any of the amounts can be directed to payroll to be explained on an individual basis. </t>
  </si>
  <si>
    <t>Monday, October 5, 2026</t>
  </si>
  <si>
    <t>Subject: Employee Pay Inquiry - James Carter</t>
  </si>
  <si>
    <t>James Carter contacted Payroll this morning regarding his most recent paycheck. He believes he was not paid for all of the hours he worked during the previous pay period.</t>
  </si>
  <si>
    <t>I'd also like you to determine whether this appears to be an isolated issue or whether other employees could have been affected.</t>
  </si>
  <si>
    <t>If there is an error, identify the cause and recommend the appropriate correction. If the payroll calculation is correct, please document why so we can provide James with a clear explanation.</t>
  </si>
  <si>
    <t>He stated that he worked additional hours during the final week of the pay period and expected overtime to be included. Please review his timekeeping and payroll records and determine whether his paycheck was calculated correctly.</t>
  </si>
  <si>
    <t>Employee Statement</t>
  </si>
  <si>
    <t>James provided Payroll with the following:</t>
  </si>
  <si>
    <t>"I worked Monday through Saturday that week. I know I worked more than 40 hours, but my paycheck doesn't show the overtime I expected. I also stayed late several days because we were trying to finish the project."</t>
  </si>
  <si>
    <t>James Carter Timecard</t>
  </si>
  <si>
    <r>
      <t>Department:</t>
    </r>
    <r>
      <rPr>
        <sz val="12"/>
        <color theme="1"/>
        <rFont val="Aptos Narrow"/>
        <family val="2"/>
        <scheme val="minor"/>
      </rPr>
      <t xml:space="preserve"> Engineering</t>
    </r>
  </si>
  <si>
    <r>
      <t>Hourly Rate:</t>
    </r>
    <r>
      <rPr>
        <sz val="12"/>
        <color theme="1"/>
        <rFont val="Aptos Narrow"/>
        <family val="2"/>
        <scheme val="minor"/>
      </rPr>
      <t xml:space="preserve"> $42.00</t>
    </r>
  </si>
  <si>
    <t>Day</t>
  </si>
  <si>
    <t>Total Hours</t>
  </si>
  <si>
    <t>Manager Approval</t>
  </si>
  <si>
    <t>Mon</t>
  </si>
  <si>
    <t>Tue</t>
  </si>
  <si>
    <t>Wed</t>
  </si>
  <si>
    <t>Thu</t>
  </si>
  <si>
    <t>Fri</t>
  </si>
  <si>
    <t>Sat</t>
  </si>
  <si>
    <t>Payroll Register</t>
  </si>
  <si>
    <t>Regular Hours Paid</t>
  </si>
  <si>
    <t>OT Hours Paid</t>
  </si>
  <si>
    <t>Company Overtime Policy</t>
  </si>
  <si>
    <r>
      <t xml:space="preserve">Employees are paid overtime at </t>
    </r>
    <r>
      <rPr>
        <b/>
        <sz val="12"/>
        <color theme="1"/>
        <rFont val="Aptos Narrow"/>
        <family val="2"/>
        <scheme val="minor"/>
      </rPr>
      <t>1.5 times their regular hourly rate for hours worked over 40 in a defined workweek.</t>
    </r>
  </si>
  <si>
    <t>The company workweek runs:</t>
  </si>
  <si>
    <t>Sunday 12:00 AM through Saturday 11:59 PM.</t>
  </si>
  <si>
    <t>Overtime must be approved by the employee's manager before payroll is finalized.</t>
  </si>
  <si>
    <t>Payroll System Notes</t>
  </si>
  <si>
    <t>Payroll's system configuration shows:</t>
  </si>
  <si>
    <r>
      <t>Workweek:</t>
    </r>
    <r>
      <rPr>
        <sz val="12"/>
        <color theme="1"/>
        <rFont val="Aptos Narrow"/>
        <family val="2"/>
        <scheme val="minor"/>
      </rPr>
      <t xml:space="preserve"> Sunday through Saturday</t>
    </r>
  </si>
  <si>
    <t>James Carter's recorded hours:</t>
  </si>
  <si>
    <t>Week</t>
  </si>
  <si>
    <t>Hours</t>
  </si>
  <si>
    <t>Week 1</t>
  </si>
  <si>
    <t>Week 2</t>
  </si>
  <si>
    <t>Payroll was processed using the configured workweek.</t>
  </si>
  <si>
    <t>Timekeeping System Notes</t>
  </si>
  <si>
    <t>There is a note attached to James's Saturday entry:</t>
  </si>
  <si>
    <t>"Saturday hours entered after Friday payroll cutoff. Manager approved Saturday hours on Monday morning."</t>
  </si>
  <si>
    <t>Finding</t>
  </si>
  <si>
    <t>Workweek</t>
  </si>
  <si>
    <t>Sunday</t>
  </si>
  <si>
    <t>Monday</t>
  </si>
  <si>
    <t>Tuesday</t>
  </si>
  <si>
    <t>Wednesday</t>
  </si>
  <si>
    <t>Thursday</t>
  </si>
  <si>
    <t>Friday</t>
  </si>
  <si>
    <t>Saturday</t>
  </si>
  <si>
    <t>Hours Worked</t>
  </si>
  <si>
    <t>OT Eligibility</t>
  </si>
  <si>
    <t>OT must be approved by manager before payroll is finalized</t>
  </si>
  <si>
    <t>Saturday hours entered after Friday Cutoff on Monday morning</t>
  </si>
  <si>
    <t>Hours Paid</t>
  </si>
  <si>
    <t>All regular hours</t>
  </si>
  <si>
    <t>Potential Underpayment</t>
  </si>
  <si>
    <t>Underpaid the .5 of the 1.5 for the 6 hours</t>
  </si>
  <si>
    <t xml:space="preserve">Regular rate </t>
  </si>
  <si>
    <t>Underpaid</t>
  </si>
  <si>
    <t>Investigation Summary and Recommendations</t>
  </si>
  <si>
    <t>The Executive Payroll Review</t>
  </si>
  <si>
    <t>Recommendations</t>
  </si>
  <si>
    <t>Subject: Monthly Payroll Review for Leadership</t>
  </si>
  <si>
    <t>You've now worked through several different types of payroll investigations, and I'd like you to take the lead on our October payroll review.</t>
  </si>
  <si>
    <t>Leadership has asked Payroll to provide a summary of current payroll trends before the monthly Finance and Operations meeting.</t>
  </si>
  <si>
    <t>I've attached several reports for you to review.</t>
  </si>
  <si>
    <t>I don't need you to investigate every individual employee. Instead, I'd like you to identify the issues and trends that are most important from a payroll and business perspective.</t>
  </si>
  <si>
    <t>Please prioritize your findings and distinguish between items that require immediate attention and those that should simply be monitored.</t>
  </si>
  <si>
    <t>I'd also like you to provide recommendations for Payroll, HR, and Operations where appropriate.</t>
  </si>
  <si>
    <t>I'll review your final report before the leadership meeting, but I want you to approach this as though you were presenting the analysis yourself.</t>
  </si>
  <si>
    <t>Payroll Summary</t>
  </si>
  <si>
    <t>October 1–15, 2026</t>
  </si>
  <si>
    <t>Metric</t>
  </si>
  <si>
    <t>September 16–30</t>
  </si>
  <si>
    <t>October 1–15</t>
  </si>
  <si>
    <t>Total Employees</t>
  </si>
  <si>
    <t>Gross Payroll</t>
  </si>
  <si>
    <t>Overtime Hours</t>
  </si>
  <si>
    <t>Meal Premiums</t>
  </si>
  <si>
    <t>Payroll Corrections</t>
  </si>
  <si>
    <t>Off-Cycle Payments</t>
  </si>
  <si>
    <t>Overtime by Department</t>
  </si>
  <si>
    <t>Sept. OT Hours</t>
  </si>
  <si>
    <t>Oct. OT Hours</t>
  </si>
  <si>
    <t>Correction Type</t>
  </si>
  <si>
    <t>September</t>
  </si>
  <si>
    <t>October</t>
  </si>
  <si>
    <t>Late time submission</t>
  </si>
  <si>
    <t>Incorrect deduction</t>
  </si>
  <si>
    <t>Missing overtime</t>
  </si>
  <si>
    <t>Employee setup error</t>
  </si>
  <si>
    <t>Meal Premium Exceptions</t>
  </si>
  <si>
    <r>
      <t xml:space="preserve">October produced </t>
    </r>
    <r>
      <rPr>
        <b/>
        <sz val="12"/>
        <color theme="1"/>
        <rFont val="Aptos Narrow"/>
        <family val="2"/>
        <scheme val="minor"/>
      </rPr>
      <t>14 meal-period exceptions</t>
    </r>
    <r>
      <rPr>
        <sz val="12"/>
        <color theme="1"/>
        <rFont val="Aptos Narrow"/>
        <family val="2"/>
        <scheme val="minor"/>
      </rPr>
      <t>.</t>
    </r>
  </si>
  <si>
    <t>They were distributed across:</t>
  </si>
  <si>
    <t>Manufacturing: 7</t>
  </si>
  <si>
    <t>Engineering: 3</t>
  </si>
  <si>
    <t>Operations: 2</t>
  </si>
  <si>
    <t>Finance: 1</t>
  </si>
  <si>
    <t>HR: 1</t>
  </si>
  <si>
    <t>Of the 14 exceptions:</t>
  </si>
  <si>
    <t>8 were resolved through documentation review.</t>
  </si>
  <si>
    <t>4 resulted in meal premiums being paid.</t>
  </si>
  <si>
    <t>2 remain under investigation.</t>
  </si>
  <si>
    <t>Management Notes</t>
  </si>
  <si>
    <t>Manufacturing Manager</t>
  </si>
  <si>
    <t>Manufacturing experienced a significant increase in customer orders during October. We added weekend production shifts and extended weekday coverage to meet delivery deadlines.</t>
  </si>
  <si>
    <t>Engineering Manager</t>
  </si>
  <si>
    <t>Engineering is supporting the launch of a new product line. Several engineers have been working additional hours to complete validation and testing.</t>
  </si>
  <si>
    <t>HR Manager</t>
  </si>
  <si>
    <t>HR has noticed an increase in questions from employees regarding overtime, meal premiums, and payroll corrections.</t>
  </si>
  <si>
    <t>Finance Manager</t>
  </si>
  <si>
    <t>Finance is concerned that payroll corrections and overtime costs are increasing simultaneously and would like to know whether the increase is temporary or becoming a recurring operational issue.</t>
  </si>
  <si>
    <t>Late Time Submission Review</t>
  </si>
  <si>
    <r>
      <t xml:space="preserve">Payroll identified </t>
    </r>
    <r>
      <rPr>
        <b/>
        <sz val="12"/>
        <color theme="1"/>
        <rFont val="Aptos Narrow"/>
        <family val="2"/>
        <scheme val="minor"/>
      </rPr>
      <t>nine employees</t>
    </r>
    <r>
      <rPr>
        <sz val="12"/>
        <color theme="1"/>
        <rFont val="Aptos Narrow"/>
        <family val="2"/>
        <scheme val="minor"/>
      </rPr>
      <t xml:space="preserve"> whose time was submitted after the payroll cutoff.</t>
    </r>
  </si>
  <si>
    <t>Employees</t>
  </si>
  <si>
    <t>All approved late</t>
  </si>
  <si>
    <t>Approved late</t>
  </si>
  <si>
    <t>Of those nine employees:</t>
  </si>
  <si>
    <t>5 had overtime</t>
  </si>
  <si>
    <t>2 had meal-period exceptions</t>
  </si>
  <si>
    <t>2 had no payroll impact</t>
  </si>
  <si>
    <t>Payroll System Review</t>
  </si>
  <si>
    <t>Payroll IT reports:</t>
  </si>
  <si>
    <t>No system-wide payroll calculation errors were identified during the October 1–15 processing cycle.</t>
  </si>
  <si>
    <t>However:</t>
  </si>
  <si>
    <t>Payroll configuration and processing appear to be functioning as expected.</t>
  </si>
  <si>
    <t>The increase in corrections appears primarily related to late time submissions, overtime activity, and employee record changes rather than system malfunction.</t>
  </si>
  <si>
    <t>Business Impact</t>
  </si>
  <si>
    <t>Risk</t>
  </si>
  <si>
    <t>Prepared by : Martha Fields-Cypress</t>
  </si>
  <si>
    <t>To: Executive Team</t>
  </si>
  <si>
    <t>Increase in Overtime hours in Manufacturing and Engineering</t>
  </si>
  <si>
    <t xml:space="preserve">An increase of 157 hours reported in these 2 departments. </t>
  </si>
  <si>
    <t xml:space="preserve">Continued high overtime costs. </t>
  </si>
  <si>
    <t>High</t>
  </si>
  <si>
    <t>Evaluate if this is a staffing issue or set up a policy for departments on how to handle high business need times. Both manufacturing and engineering managers noted they had a launch of a new product and significant increase in customer orders.</t>
  </si>
  <si>
    <t>From 4 -&gt; 11 overall corrections needed</t>
  </si>
  <si>
    <t xml:space="preserve">Payroll corrections increased </t>
  </si>
  <si>
    <t>Employees lose confidence in payroll, compliance issues</t>
  </si>
  <si>
    <t>Late time submissions concentrated in high-OT departments</t>
  </si>
  <si>
    <t>May be contributing directly to corrections and employee pay issues</t>
  </si>
  <si>
    <t>Meal premiums increased $1,620</t>
  </si>
  <si>
    <t>Requires monitoring for potential compliance/workload patterns</t>
  </si>
  <si>
    <t>No system-wide calculation errors</t>
  </si>
  <si>
    <t>Indicates current issues appear primarily process-related rather than a system malfunction</t>
  </si>
  <si>
    <t>Potential compliance issues, missed payments, off-cycle payments, over payments. Creates risk of delayed/incorrect pay and additional payroll workload</t>
  </si>
  <si>
    <t>Distrust, distracted. May be contributing directly to corrections and employee pay issues</t>
  </si>
  <si>
    <t>Increased Employee Inquries</t>
  </si>
  <si>
    <t xml:space="preserve"> HR manager notes</t>
  </si>
  <si>
    <t>Policies and deadlines need to be clear for managers and employees.</t>
  </si>
  <si>
    <t>Eliminates this as a potential issue, will need to do investigations and improvements elsewhere</t>
  </si>
  <si>
    <t>Payroll system review</t>
  </si>
  <si>
    <t>Excessive cost to the business</t>
  </si>
  <si>
    <t>Late time submission review</t>
  </si>
  <si>
    <t>Distrust in payroll, employees distracted by payroll concerns</t>
  </si>
  <si>
    <t>Ensure employees are receiving breaks and meal times when qualified in accordance with company policy</t>
  </si>
  <si>
    <t>Leadership should be concerned if these trends continue moving forward, with higher priority in the overtime hours and late-time submissions. Lesser priority are the employee inquires and meal premiums.</t>
  </si>
  <si>
    <t>Executive Working Papers</t>
  </si>
  <si>
    <t>Payroll Analyst Portfolio • Seven Realistic Payroll Investigations from a Payroll Analyst</t>
  </si>
  <si>
    <r>
      <rPr>
        <u/>
        <sz val="12"/>
        <color theme="1"/>
        <rFont val="Aptos Narrow (Body)"/>
      </rPr>
      <t>Competencies</t>
    </r>
    <r>
      <rPr>
        <sz val="12"/>
        <color theme="1"/>
        <rFont val="Aptos Narrow"/>
        <family val="2"/>
        <scheme val="minor"/>
      </rPr>
      <t>: Payroll Review • Risk Assessment • Analytical Thinking • Payroll Auditing • Professional Communication • Documentation • Attention to Detail</t>
    </r>
  </si>
  <si>
    <r>
      <rPr>
        <u/>
        <sz val="12"/>
        <color theme="1"/>
        <rFont val="Aptos Narrow (Body)"/>
      </rPr>
      <t>Competencies</t>
    </r>
    <r>
      <rPr>
        <sz val="12"/>
        <color theme="1"/>
        <rFont val="Aptos Narrow"/>
        <scheme val="minor"/>
      </rPr>
      <t>: Payroll Reconciliation • Financial Analysis • Root Cause Investigation • General Ledger (GL) Awareness • Professional Documentation</t>
    </r>
  </si>
  <si>
    <r>
      <rPr>
        <u/>
        <sz val="12"/>
        <color theme="1"/>
        <rFont val="Aptos Narrow (Body)"/>
      </rPr>
      <t>Competencies</t>
    </r>
    <r>
      <rPr>
        <sz val="12"/>
        <color theme="1"/>
        <rFont val="Aptos Narrow"/>
        <scheme val="minor"/>
      </rPr>
      <t>: California wage-and-hour compliance • Payroll exception investigation • Employee impact assessment • Data validation • Root-cause analysis • Communication with HR and Payroll</t>
    </r>
  </si>
  <si>
    <r>
      <rPr>
        <u/>
        <sz val="12"/>
        <color theme="1"/>
        <rFont val="Aptos Narrow (Body)"/>
      </rPr>
      <t>Competencies</t>
    </r>
    <r>
      <rPr>
        <sz val="12"/>
        <color theme="1"/>
        <rFont val="Aptos Narrow"/>
        <scheme val="minor"/>
      </rPr>
      <t>: Bonus payroll analysis • Payroll tax treatment • Pre-tax vs. post-tax deductions • Employee communication • Variance analysis • Root-cause investigation • Cross-functional collaboration</t>
    </r>
  </si>
  <si>
    <t>Deliverables</t>
  </si>
  <si>
    <t>Payroll Period: July 13–26, 2026</t>
  </si>
  <si>
    <r>
      <rPr>
        <sz val="18"/>
        <color theme="1"/>
        <rFont val="Aptos Narrow"/>
        <family val="2"/>
        <scheme val="minor"/>
      </rPr>
      <t>Deliverables</t>
    </r>
    <r>
      <rPr>
        <sz val="18"/>
        <color theme="1"/>
        <rFont val="Aptos Narrow (Body)"/>
      </rPr>
      <t>:</t>
    </r>
  </si>
  <si>
    <t>Recommendations:</t>
  </si>
  <si>
    <t>Payroll/HR Investigation Summary:</t>
  </si>
  <si>
    <t>Payroll Investigation Summary:</t>
  </si>
  <si>
    <t>Are the additional deductions included in the supplemental wage?</t>
  </si>
  <si>
    <t>Link to Case Study 1</t>
  </si>
  <si>
    <t>Link to Case Study 2</t>
  </si>
  <si>
    <t>Link to Case Study 3</t>
  </si>
  <si>
    <t>Link to Case Study 4</t>
  </si>
  <si>
    <t>Link to Case Study 5</t>
  </si>
  <si>
    <t>Link to Case Study 6</t>
  </si>
  <si>
    <t>Link to Case Study 7</t>
  </si>
  <si>
    <t xml:space="preserve">Sizeable increase, is this within expected range of OT Variance? </t>
  </si>
  <si>
    <t>Overtime costs increased by $13,150, may indicate temporary demand or capacity/staffing pressure</t>
  </si>
  <si>
    <t>Competencies: Payroll Analysis • Trend Analysis • California Overtime Rules • Root Cause Investigation • Professional Communication</t>
  </si>
  <si>
    <t>Competencies: Payroll investigation • Employee pay inquiry • Timekeeping analysis • Payroll system troubleshooting • Root-cause analysis • Documentation • Professional communication • Escalation judgment</t>
  </si>
  <si>
    <t>Competencies: Payroll data analysis • Trend analysis • Risk assessment • Prioritization • Cross-functional investigation • Executive communication • Recommendations • Analyst judgment</t>
  </si>
  <si>
    <t xml:space="preserve">Confirm hours worked, investigate paid time off or other reasons for still receiving gross pay amount. </t>
  </si>
  <si>
    <t>The employee's HR record notes a leave of absence beginning July 15, 2026 (within this payroll cycle). While the payroll register reflects zero regular and overtime hours, the employee is still scheduled to receive gross pay of $2,400. This discrepancy requires review before payroll is finalized to determine whether the payment is intentional or due to an error (still needs to be verified).</t>
  </si>
  <si>
    <t>Unusual (large or small) payroll activity does not necessarily indicate an error but should be supported by appropriate documentation. Overtime entries should be verified regardless of amount to ensure compliance with company approval procedures. Comparing employee status, hours worked, and gross pay together can reveal discrepancies that may not be apparent when reviewing individual fields in isolation, payroll requires a holistic approach. Effective payroll analysis focuses on identifying items that warrant investigation rather than assuming errors before sufficient evidence is available.</t>
  </si>
  <si>
    <t>% Change/Increase (Hours)</t>
  </si>
  <si>
    <t>% Change/Increase (Cost)</t>
  </si>
  <si>
    <t>Contribution to Total Increase</t>
  </si>
  <si>
    <t>Current Manufacturing &amp; Engineering OT Cost</t>
  </si>
  <si>
    <t>Previous Manufacturing &amp; Engineering OT Cost</t>
  </si>
  <si>
    <t>Payroll Period: July 27–August 9</t>
  </si>
  <si>
    <t>After investigating the Payroll Summary by Department report, the majority, (97%) of the overtime increase is accounted for in the Manufacturing and Engineering departments. This breaks down to 69% due to Manufacturing and 28% Engineering. The cause has been suggested by managers and additional notes provided to the payroll team including high workload demand from 2 large customers in the Manufacturing department and a product launch in the Engineering team. At least 4 employees have documented more than 30 hours of overtime, 3 in Manufacturing and 1 in Engineering. The remaining departments account only for $470 of OT Cost increase.</t>
  </si>
  <si>
    <t xml:space="preserve">Recommend validate all the overtime hours within the manufacturing and engineering departments to account for all the increase costs. Continue to monitor both departments and potentially consider policies for high demand pay periods to better accommodate departments with increased needs rather than using Overtime Hours. Review Payroll Reports and Overtime Reports as well as CA State regulations to confirm compliance with high number of overtime hours, double time, and weekend day regulations. </t>
  </si>
  <si>
    <t xml:space="preserve">The $2,400 variance is accounted for within the Employer Benefits category. There are 3 employee changes, effective Aug 1, that total to this $2,400 amount. The discrepancy occurred likely due to the timing of payroll processing and receiving the required invoices. No errors reported during payroll calculations. Accounting should confirm the appropriate documentation for the reconciliation of these changes in benefits. </t>
  </si>
  <si>
    <t>***For this case study I am using the following simplified rule:  When a California employee is entitled to a meal period and the employer fails to provide the required meal period, the employee may be owed one additional hour of pay at the employee's regular rate of compensation for that workday.</t>
  </si>
  <si>
    <t xml:space="preserve">Ashley Brown needs the corrected break records in order to determine what is needed. Manager notes provide insight into employees shifts but do not have any information regarding if the breaks were fulfilled during the shift or if the employee is qualified for meal premium pay. </t>
  </si>
  <si>
    <t>Exception to premium? Was break taken and not documented correctly?</t>
  </si>
  <si>
    <t>Exception to premium?</t>
  </si>
  <si>
    <t>What is the correct break information?</t>
  </si>
  <si>
    <t>Are these extra hours an exception to receiving premium?</t>
  </si>
  <si>
    <t>Emily Davis, no meal break &amp; 9.25 hr shift</t>
  </si>
  <si>
    <t xml:space="preserve">After reviewing the 6 bonus amounts, two of the employees, Rachel Kim and Emily Davis, bonuses will need to be verified as there are additional deductions that may or may not be applicable to this supplemental wage. </t>
  </si>
  <si>
    <t xml:space="preserve">Employees with inquiries about their bonus should be informed that this bonus is a supplemental wage and as such is still subject to applicable federal and state withholdings, social security and medicare withholdings as well as some employee benefit deductions. This is reflected in the Net Bonus received.  </t>
  </si>
  <si>
    <t xml:space="preserve">For future supplemental wage payments employees should be informed that the gross bonus amount is subject to applicable withholdings and deductions. Further inquiries about specific withholdings and deductions can be addressed on an individual basis. </t>
  </si>
  <si>
    <t>Payroll should verify any additional deductions to determine if these are applicable to the supplemental wage before finalizing payment.</t>
  </si>
  <si>
    <t>In response to James Carter's inquiry my investigation shows that he was underpaid for the overtime hours on Saturday September 26th. This was likely due to their manager submitting the approval for these hours after the payroll cutoff. He received his regular rate, $42, for all 46 hours of his week 2, $1,932.00. He should have received company overtime rate of 1.5 for the 6 overtime-eligible hours, resulting in an underpayment of, $126.00.</t>
  </si>
  <si>
    <t xml:space="preserve">Payroll needs to advise if this amount will be paid in an off cycle or a retro payment next cycle. </t>
  </si>
  <si>
    <t xml:space="preserve">This is a confirmed case for James but could occur to other employees, due to managers submitting hours after payroll cutoff. Payroll should search for additional late time entries from managers. Lastly, reminders of payroll cutoff dates and times could be sent to all managers to try to improve the rate of on time approvals if this is an ongoing issue. </t>
  </si>
  <si>
    <t xml:space="preserve">Two departments, Manufacturing and Engineering, have had a significant increase in demand in this October Cycle, due to customer orders and a launch of a new product. This increase resulted in $13,150 increase in overtime costs. Meal premiums more than doubled, the cause of which would need to be investigated further but the higher workload could be a leading factor.  In addition, there was an increase in payroll corrections from 4 to 11, due mostly to late-time submission. The late time submissions and meal premiums may have impacted the increase in employee questions to payroll. </t>
  </si>
  <si>
    <t xml:space="preserve">If the high demand from different departments continues leadership should consider staffing options as well as solutions to decrease the amount of late time submissions so that payroll can more accurately pay every employee. </t>
  </si>
  <si>
    <t xml:space="preserve">Payroll is recommended to work with leadership in identifying strategies to decrease the amount of late-time submissions. As well as ensuring the importance of a company policy surrounding meal premiums is understood and followed. Payroll should also continue to monitor trends including late-time submissions, overtime hours and costs, and meal premiums. </t>
  </si>
  <si>
    <t>HR must ensure employees and managers understand company policies, deadlines and all pertinent payroll information. As well HR is to continue responding to employee inquiries to retain positive rapport.</t>
  </si>
  <si>
    <t xml:space="preserve">Operations needs to investigate the need for additional staffing, scheduling needs, as well as how departments are recommended by the business to handle high demand periods. </t>
  </si>
  <si>
    <t>Continued perceived errors by payroll</t>
  </si>
  <si>
    <t xml:space="preserve">Payroll system has no calculation errors and is functioning properly, so need to look internally for why this increase is occurring. "Primarily related to late time submissions, overtime activity, and employee record changes." Implement checks and reminders for submission deadlines. </t>
  </si>
  <si>
    <t xml:space="preserve">Employees are increasingly questioning the validity of their pay. Needing to make off-cycle payments or retroactive payments due to late submissions also reflects in the payment to employees not being accurate.  </t>
  </si>
  <si>
    <t>The Monday Morning Payroll Audit (Week 1)</t>
  </si>
  <si>
    <t>The Overtime Spike (Week 3)</t>
  </si>
  <si>
    <t>The Payroll that Doesn't Balance (Week 5)</t>
  </si>
  <si>
    <t>The Missing Meal Premiums (Week 7)</t>
  </si>
  <si>
    <t>The $18,000 Bonus Question (Week 9)</t>
  </si>
  <si>
    <t>The Employee Who Says Their Pay is Wrong (Week 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</si>
</sst>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8" formatCode="&quot;$&quot;#,##0.00_);[Red]\(&quot;$&quot;#,##0.00\)"/>
    <numFmt numFmtId="44" formatCode="_(&quot;$&quot;* #,##0.00_);_(&quot;$&quot;* \(#,##0.00\);_(&quot;$&quot;* &quot;-&quot;??_);_(@_)"/>
    <numFmt numFmtId="164" formatCode="0.0%"/>
  </numFmts>
  <fonts count="29" x14ac:knownFonts="1">
    <font>
      <sz val="12"/>
      <color theme="1"/>
      <name val="Aptos Narrow"/>
      <family val="2"/>
      <scheme val="minor"/>
    </font>
    <font>
      <sz val="12"/>
      <color theme="1"/>
      <name val="Aptos Narrow"/>
      <family val="2"/>
      <scheme val="minor"/>
    </font>
    <font>
      <b/>
      <sz val="12"/>
      <color theme="1"/>
      <name val="Aptos Narrow"/>
      <family val="2"/>
      <scheme val="minor"/>
    </font>
    <font>
      <b/>
      <sz val="18"/>
      <color theme="1"/>
      <name val="Aptos Narrow"/>
      <family val="2"/>
      <scheme val="minor"/>
    </font>
    <font>
      <b/>
      <sz val="12"/>
      <color theme="1"/>
      <name val="Aptos Narrow"/>
      <scheme val="minor"/>
    </font>
    <font>
      <b/>
      <sz val="24"/>
      <color theme="1"/>
      <name val="Aptos Narrow"/>
      <family val="2"/>
      <scheme val="minor"/>
    </font>
    <font>
      <b/>
      <sz val="13.5"/>
      <color theme="1"/>
      <name val="Aptos Narrow"/>
      <family val="2"/>
      <scheme val="minor"/>
    </font>
    <font>
      <b/>
      <sz val="14"/>
      <color theme="1"/>
      <name val="Aptos Narrow"/>
      <scheme val="minor"/>
    </font>
    <font>
      <i/>
      <sz val="12"/>
      <color theme="1"/>
      <name val="Aptos Narrow"/>
      <family val="2"/>
      <scheme val="minor"/>
    </font>
    <font>
      <b/>
      <sz val="24"/>
      <color theme="1"/>
      <name val="Aptos Narrow"/>
      <scheme val="minor"/>
    </font>
    <font>
      <sz val="12"/>
      <color theme="1"/>
      <name val="Aptos Narrow"/>
      <scheme val="minor"/>
    </font>
    <font>
      <b/>
      <sz val="14"/>
      <color theme="1"/>
      <name val="Aptos Narrow"/>
      <family val="2"/>
      <scheme val="minor"/>
    </font>
    <font>
      <sz val="13.5"/>
      <color theme="1"/>
      <name val="Aptos Narrow"/>
      <scheme val="minor"/>
    </font>
    <font>
      <b/>
      <sz val="18"/>
      <color theme="1"/>
      <name val="Aptos Narrow"/>
      <scheme val="minor"/>
    </font>
    <font>
      <sz val="12"/>
      <color theme="1"/>
      <name val="Aptos Narrow (Body)"/>
    </font>
    <font>
      <u/>
      <sz val="12"/>
      <color theme="10"/>
      <name val="Aptos Narrow"/>
      <family val="2"/>
      <scheme val="minor"/>
    </font>
    <font>
      <sz val="14"/>
      <color theme="1"/>
      <name val="Aptos Narrow"/>
      <scheme val="minor"/>
    </font>
    <font>
      <sz val="20"/>
      <color theme="1"/>
      <name val="Aptos Narrow"/>
      <scheme val="minor"/>
    </font>
    <font>
      <u/>
      <sz val="12"/>
      <color theme="1"/>
      <name val="Aptos Narrow (Body)"/>
    </font>
    <font>
      <sz val="18"/>
      <color theme="1"/>
      <name val="Aptos Narrow"/>
      <scheme val="minor"/>
    </font>
    <font>
      <sz val="18"/>
      <color theme="1"/>
      <name val="Aptos Narrow"/>
      <family val="2"/>
      <scheme val="minor"/>
    </font>
    <font>
      <sz val="16"/>
      <color theme="1"/>
      <name val="Aptos Narrow"/>
      <scheme val="minor"/>
    </font>
    <font>
      <sz val="18"/>
      <color theme="1"/>
      <name val="Aptos Narrow (Body)"/>
    </font>
    <font>
      <sz val="16"/>
      <color theme="1"/>
      <name val="Aptos Narrow"/>
      <family val="2"/>
      <scheme val="minor"/>
    </font>
    <font>
      <sz val="16"/>
      <color theme="1"/>
      <name val="Aptos Narrow (Body)"/>
    </font>
    <font>
      <u/>
      <sz val="12"/>
      <color theme="3"/>
      <name val="Aptos Narrow"/>
      <family val="2"/>
      <scheme val="minor"/>
    </font>
    <font>
      <b/>
      <u/>
      <sz val="24"/>
      <color theme="8" tint="-0.249977111117893"/>
      <name val="Aptos Narrow"/>
      <family val="2"/>
      <scheme val="minor"/>
    </font>
    <font>
      <sz val="12"/>
      <color theme="1"/>
      <name val="Aptos Narrow"/>
    </font>
    <font>
      <sz val="16"/>
      <color theme="1"/>
      <name val="Aptos Narrow"/>
    </font>
  </fonts>
  <fills count="6">
    <fill>
      <patternFill patternType="none"/>
    </fill>
    <fill>
      <patternFill patternType="gray125"/>
    </fill>
    <fill>
      <patternFill patternType="solid">
        <fgColor rgb="FFFFFF00"/>
        <bgColor indexed="64"/>
      </patternFill>
    </fill>
    <fill>
      <patternFill patternType="solid">
        <fgColor theme="8"/>
        <bgColor indexed="64"/>
      </patternFill>
    </fill>
    <fill>
      <patternFill patternType="solid">
        <fgColor theme="5" tint="0.79998168889431442"/>
        <bgColor indexed="64"/>
      </patternFill>
    </fill>
    <fill>
      <patternFill patternType="solid">
        <fgColor theme="7" tint="0.79998168889431442"/>
        <bgColor indexed="64"/>
      </patternFill>
    </fill>
  </fills>
  <borders count="1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15" fillId="0" borderId="0" applyNumberFormat="0" applyFill="0" applyBorder="0" applyAlignment="0" applyProtection="0"/>
  </cellStyleXfs>
  <cellXfs count="123">
    <xf numFmtId="0" fontId="0" fillId="0" borderId="0" xfId="0"/>
    <xf numFmtId="0" fontId="2" fillId="0" borderId="0" xfId="0" applyFont="1"/>
    <xf numFmtId="8" fontId="0" fillId="0" borderId="0" xfId="0" applyNumberFormat="1"/>
    <xf numFmtId="0" fontId="3" fillId="0" borderId="0" xfId="0" applyFont="1"/>
    <xf numFmtId="0" fontId="0" fillId="0" borderId="4" xfId="0" applyBorder="1"/>
    <xf numFmtId="0" fontId="5" fillId="0" borderId="0" xfId="0" applyFont="1"/>
    <xf numFmtId="0" fontId="6" fillId="0" borderId="0" xfId="0" applyFont="1"/>
    <xf numFmtId="0" fontId="2" fillId="0" borderId="6" xfId="0" applyFont="1" applyBorder="1"/>
    <xf numFmtId="0" fontId="2" fillId="0" borderId="7" xfId="0" applyFont="1" applyBorder="1"/>
    <xf numFmtId="0" fontId="0" fillId="0" borderId="5" xfId="0" applyBorder="1"/>
    <xf numFmtId="0" fontId="0" fillId="0" borderId="0" xfId="0" applyAlignment="1">
      <alignment wrapText="1"/>
    </xf>
    <xf numFmtId="0" fontId="0" fillId="0" borderId="3" xfId="0" applyBorder="1"/>
    <xf numFmtId="0" fontId="2" fillId="0" borderId="4" xfId="0" applyFont="1" applyBorder="1"/>
    <xf numFmtId="0" fontId="0" fillId="0" borderId="0" xfId="0" applyAlignment="1">
      <alignment horizontal="left" wrapText="1"/>
    </xf>
    <xf numFmtId="6" fontId="0" fillId="0" borderId="0" xfId="0" applyNumberFormat="1"/>
    <xf numFmtId="164" fontId="0" fillId="0" borderId="0" xfId="2" applyNumberFormat="1" applyFont="1" applyBorder="1"/>
    <xf numFmtId="0" fontId="4" fillId="0" borderId="0" xfId="0" applyFont="1"/>
    <xf numFmtId="0" fontId="10" fillId="0" borderId="0" xfId="0" applyFont="1"/>
    <xf numFmtId="18" fontId="10" fillId="0" borderId="0" xfId="0" applyNumberFormat="1" applyFont="1"/>
    <xf numFmtId="0" fontId="0" fillId="0" borderId="0" xfId="0" applyAlignment="1">
      <alignment vertical="top"/>
    </xf>
    <xf numFmtId="18" fontId="6" fillId="0" borderId="0" xfId="0" applyNumberFormat="1" applyFont="1"/>
    <xf numFmtId="18" fontId="12" fillId="0" borderId="0" xfId="0" applyNumberFormat="1" applyFont="1"/>
    <xf numFmtId="16" fontId="0" fillId="0" borderId="0" xfId="0" applyNumberFormat="1"/>
    <xf numFmtId="0" fontId="0" fillId="0" borderId="0" xfId="0" applyAlignment="1">
      <alignment vertical="top" wrapText="1"/>
    </xf>
    <xf numFmtId="0" fontId="13" fillId="0" borderId="0" xfId="0" applyFont="1"/>
    <xf numFmtId="0" fontId="14" fillId="0" borderId="0" xfId="0" applyFont="1" applyAlignment="1">
      <alignment vertical="top" wrapText="1"/>
    </xf>
    <xf numFmtId="0" fontId="0" fillId="0" borderId="0" xfId="0" applyAlignment="1">
      <alignment horizontal="left" vertical="top" wrapText="1"/>
    </xf>
    <xf numFmtId="0" fontId="0" fillId="0" borderId="0" xfId="0" applyAlignment="1">
      <alignment horizontal="left" vertical="top" wrapText="1"/>
    </xf>
    <xf numFmtId="0" fontId="0" fillId="0" borderId="4" xfId="0" applyBorder="1" applyAlignment="1">
      <alignment horizontal="left" vertical="top"/>
    </xf>
    <xf numFmtId="0" fontId="0" fillId="0" borderId="5" xfId="0" applyBorder="1" applyAlignment="1">
      <alignment horizontal="left" vertical="top"/>
    </xf>
    <xf numFmtId="0" fontId="0" fillId="0" borderId="0" xfId="0" applyAlignment="1">
      <alignment horizontal="left" wrapText="1"/>
    </xf>
    <xf numFmtId="0" fontId="10" fillId="0" borderId="0" xfId="0" applyFont="1" applyAlignment="1">
      <alignment wrapText="1"/>
    </xf>
    <xf numFmtId="0" fontId="2" fillId="0" borderId="9" xfId="0" applyFont="1" applyBorder="1"/>
    <xf numFmtId="0" fontId="0" fillId="0" borderId="8" xfId="0" applyBorder="1"/>
    <xf numFmtId="0" fontId="0" fillId="0" borderId="1" xfId="0" applyBorder="1"/>
    <xf numFmtId="0" fontId="11" fillId="0" borderId="0" xfId="0" applyFont="1" applyBorder="1"/>
    <xf numFmtId="0" fontId="0" fillId="3" borderId="0" xfId="0" applyFill="1"/>
    <xf numFmtId="0" fontId="3" fillId="0" borderId="0" xfId="0" applyFont="1" applyBorder="1"/>
    <xf numFmtId="0" fontId="2" fillId="0" borderId="0" xfId="0" applyFont="1" applyBorder="1"/>
    <xf numFmtId="0" fontId="10" fillId="0" borderId="0" xfId="0" applyFont="1" applyAlignment="1">
      <alignment horizontal="left" vertical="top" wrapText="1"/>
    </xf>
    <xf numFmtId="0" fontId="9" fillId="3" borderId="0" xfId="0" applyFont="1" applyFill="1"/>
    <xf numFmtId="0" fontId="19" fillId="0" borderId="0" xfId="0" applyFont="1"/>
    <xf numFmtId="0" fontId="16" fillId="0" borderId="0" xfId="0" applyFont="1"/>
    <xf numFmtId="0" fontId="12" fillId="2" borderId="0" xfId="0" applyFont="1" applyFill="1"/>
    <xf numFmtId="0" fontId="19" fillId="3" borderId="0" xfId="0" applyFont="1" applyFill="1"/>
    <xf numFmtId="0" fontId="20" fillId="3" borderId="0" xfId="0" applyFont="1" applyFill="1"/>
    <xf numFmtId="0" fontId="21" fillId="0" borderId="0" xfId="0" applyFont="1"/>
    <xf numFmtId="0" fontId="0" fillId="4" borderId="0" xfId="0" applyFill="1" applyAlignment="1">
      <alignment horizontal="left" vertical="top" wrapText="1"/>
    </xf>
    <xf numFmtId="0" fontId="0" fillId="4" borderId="0" xfId="0" applyFill="1"/>
    <xf numFmtId="0" fontId="0" fillId="4" borderId="0" xfId="0" applyFill="1" applyAlignment="1">
      <alignment vertical="top" wrapText="1"/>
    </xf>
    <xf numFmtId="0" fontId="0" fillId="0" borderId="0" xfId="0" applyBorder="1"/>
    <xf numFmtId="0" fontId="19" fillId="0" borderId="0" xfId="0" applyFont="1" applyFill="1"/>
    <xf numFmtId="6" fontId="0" fillId="0" borderId="0" xfId="0" applyNumberFormat="1" applyBorder="1"/>
    <xf numFmtId="0" fontId="0" fillId="0" borderId="0" xfId="0" applyBorder="1" applyAlignment="1">
      <alignment wrapText="1"/>
    </xf>
    <xf numFmtId="0" fontId="0" fillId="0" borderId="0" xfId="0" applyBorder="1" applyAlignment="1">
      <alignment horizontal="left" vertical="top" wrapText="1"/>
    </xf>
    <xf numFmtId="0" fontId="0" fillId="4" borderId="0" xfId="0" applyFill="1" applyAlignment="1">
      <alignment wrapText="1"/>
    </xf>
    <xf numFmtId="0" fontId="0" fillId="0" borderId="0" xfId="0" applyFill="1" applyAlignment="1">
      <alignment vertical="top" wrapText="1"/>
    </xf>
    <xf numFmtId="0" fontId="0" fillId="0" borderId="0" xfId="0" applyFill="1"/>
    <xf numFmtId="0" fontId="19" fillId="0" borderId="0" xfId="0" applyFont="1" applyBorder="1"/>
    <xf numFmtId="0" fontId="4" fillId="0" borderId="0" xfId="0" applyFont="1" applyBorder="1"/>
    <xf numFmtId="0" fontId="0" fillId="4" borderId="0" xfId="0" applyFill="1" applyBorder="1" applyAlignment="1">
      <alignment horizontal="left" vertical="top" wrapText="1"/>
    </xf>
    <xf numFmtId="0" fontId="0" fillId="0" borderId="0" xfId="0" applyFill="1" applyBorder="1" applyAlignment="1">
      <alignment vertical="top" wrapText="1"/>
    </xf>
    <xf numFmtId="0" fontId="2" fillId="3" borderId="0" xfId="0" applyFont="1" applyFill="1"/>
    <xf numFmtId="0" fontId="0" fillId="0" borderId="0" xfId="0" applyFont="1" applyAlignment="1">
      <alignment horizontal="left" vertical="top" wrapText="1"/>
    </xf>
    <xf numFmtId="8" fontId="0" fillId="0" borderId="0" xfId="0" applyNumberFormat="1" applyBorder="1"/>
    <xf numFmtId="0" fontId="0" fillId="0" borderId="0" xfId="0" applyBorder="1" applyAlignment="1">
      <alignment vertical="top" wrapText="1"/>
    </xf>
    <xf numFmtId="16" fontId="0" fillId="0" borderId="0" xfId="0" applyNumberFormat="1" applyBorder="1"/>
    <xf numFmtId="16" fontId="0" fillId="0" borderId="0" xfId="0" applyNumberFormat="1" applyBorder="1" applyAlignment="1">
      <alignment wrapText="1"/>
    </xf>
    <xf numFmtId="0" fontId="2" fillId="0" borderId="0" xfId="0" applyFont="1" applyAlignment="1">
      <alignment wrapText="1"/>
    </xf>
    <xf numFmtId="0" fontId="17" fillId="4" borderId="0" xfId="0" applyFont="1" applyFill="1"/>
    <xf numFmtId="0" fontId="21" fillId="0" borderId="0" xfId="0" applyFont="1" applyBorder="1"/>
    <xf numFmtId="0" fontId="19" fillId="4" borderId="0" xfId="0" applyFont="1" applyFill="1" applyAlignment="1">
      <alignment horizontal="left" vertical="top"/>
    </xf>
    <xf numFmtId="0" fontId="21" fillId="4" borderId="0" xfId="0" applyFont="1" applyFill="1" applyAlignment="1">
      <alignment horizontal="left" vertical="top"/>
    </xf>
    <xf numFmtId="0" fontId="14" fillId="0" borderId="0" xfId="0" applyFont="1" applyAlignment="1">
      <alignment horizontal="left" vertical="top" wrapText="1"/>
    </xf>
    <xf numFmtId="0" fontId="24" fillId="4" borderId="0" xfId="0" applyFont="1" applyFill="1" applyAlignment="1">
      <alignment horizontal="left" vertical="top"/>
    </xf>
    <xf numFmtId="0" fontId="23" fillId="4" borderId="0" xfId="0" applyFont="1" applyFill="1" applyAlignment="1">
      <alignment horizontal="left" vertical="top"/>
    </xf>
    <xf numFmtId="0" fontId="25" fillId="4" borderId="0" xfId="3" applyFont="1" applyFill="1" applyBorder="1" applyAlignment="1">
      <alignment horizontal="left" vertical="top"/>
    </xf>
    <xf numFmtId="0" fontId="17" fillId="5" borderId="0" xfId="0" applyFont="1" applyFill="1" applyAlignment="1">
      <alignment horizontal="left" vertical="top"/>
    </xf>
    <xf numFmtId="0" fontId="0" fillId="5" borderId="0" xfId="0" applyFill="1"/>
    <xf numFmtId="0" fontId="26" fillId="0" borderId="0" xfId="0" applyFont="1" applyAlignment="1">
      <alignment horizontal="left"/>
    </xf>
    <xf numFmtId="0" fontId="0" fillId="0" borderId="0" xfId="0" applyBorder="1" applyAlignment="1">
      <alignment horizontal="left" vertical="top"/>
    </xf>
    <xf numFmtId="0" fontId="16" fillId="0" borderId="0" xfId="0" applyFont="1" applyBorder="1" applyAlignment="1">
      <alignment horizontal="left"/>
    </xf>
    <xf numFmtId="0" fontId="7" fillId="0" borderId="0" xfId="0" applyFont="1" applyBorder="1" applyAlignment="1">
      <alignment horizontal="center"/>
    </xf>
    <xf numFmtId="0" fontId="3" fillId="0" borderId="0" xfId="0" applyFont="1" applyBorder="1" applyAlignment="1">
      <alignment horizontal="center"/>
    </xf>
    <xf numFmtId="0" fontId="21" fillId="0" borderId="0" xfId="0" applyFont="1" applyBorder="1" applyAlignment="1">
      <alignment horizontal="left"/>
    </xf>
    <xf numFmtId="0" fontId="0" fillId="5" borderId="0" xfId="0" applyFill="1" applyBorder="1" applyAlignment="1">
      <alignment wrapText="1"/>
    </xf>
    <xf numFmtId="0" fontId="0" fillId="5" borderId="0" xfId="0" applyFill="1" applyBorder="1"/>
    <xf numFmtId="0" fontId="2" fillId="5" borderId="0" xfId="0" applyFont="1" applyFill="1" applyBorder="1"/>
    <xf numFmtId="6" fontId="0" fillId="5" borderId="0" xfId="0" applyNumberFormat="1" applyFill="1" applyBorder="1"/>
    <xf numFmtId="6" fontId="2" fillId="5" borderId="0" xfId="0" applyNumberFormat="1" applyFont="1" applyFill="1" applyBorder="1"/>
    <xf numFmtId="164" fontId="2" fillId="5" borderId="0" xfId="0" applyNumberFormat="1" applyFont="1" applyFill="1" applyBorder="1"/>
    <xf numFmtId="0" fontId="6" fillId="5" borderId="0" xfId="0" applyFont="1" applyFill="1" applyBorder="1"/>
    <xf numFmtId="164" fontId="0" fillId="0" borderId="0" xfId="0" applyNumberFormat="1" applyBorder="1"/>
    <xf numFmtId="0" fontId="4" fillId="5" borderId="0" xfId="0" applyFont="1" applyFill="1" applyBorder="1"/>
    <xf numFmtId="0" fontId="10" fillId="5" borderId="0" xfId="0" applyFont="1" applyFill="1" applyBorder="1"/>
    <xf numFmtId="6" fontId="10" fillId="5" borderId="0" xfId="0" applyNumberFormat="1" applyFont="1" applyFill="1" applyBorder="1"/>
    <xf numFmtId="164" fontId="10" fillId="5" borderId="0" xfId="2" applyNumberFormat="1" applyFont="1" applyFill="1" applyBorder="1"/>
    <xf numFmtId="0" fontId="0" fillId="0" borderId="0" xfId="0" applyBorder="1" applyAlignment="1">
      <alignment vertical="top"/>
    </xf>
    <xf numFmtId="164" fontId="0" fillId="0" borderId="0" xfId="2" applyNumberFormat="1" applyFont="1" applyBorder="1" applyAlignment="1">
      <alignment vertical="top"/>
    </xf>
    <xf numFmtId="6" fontId="0" fillId="0" borderId="0" xfId="0" applyNumberFormat="1" applyBorder="1" applyAlignment="1">
      <alignment vertical="top"/>
    </xf>
    <xf numFmtId="164" fontId="0" fillId="0" borderId="0" xfId="0" applyNumberFormat="1" applyBorder="1" applyAlignment="1">
      <alignment vertical="top"/>
    </xf>
    <xf numFmtId="0" fontId="0" fillId="5" borderId="0" xfId="0" applyFill="1" applyBorder="1" applyAlignment="1">
      <alignment horizontal="left" vertical="top" wrapText="1"/>
    </xf>
    <xf numFmtId="8" fontId="0" fillId="5" borderId="0" xfId="0" applyNumberFormat="1" applyFill="1" applyBorder="1"/>
    <xf numFmtId="16" fontId="0" fillId="5" borderId="0" xfId="0" applyNumberFormat="1" applyFill="1" applyBorder="1"/>
    <xf numFmtId="0" fontId="2" fillId="5" borderId="0" xfId="0" applyFont="1" applyFill="1"/>
    <xf numFmtId="6" fontId="0" fillId="5" borderId="0" xfId="0" applyNumberFormat="1" applyFill="1"/>
    <xf numFmtId="0" fontId="21" fillId="4" borderId="0" xfId="0" applyFont="1" applyFill="1" applyBorder="1" applyAlignment="1">
      <alignment horizontal="left" vertical="top"/>
    </xf>
    <xf numFmtId="0" fontId="0" fillId="5" borderId="0" xfId="0" applyFill="1" applyBorder="1" applyAlignment="1">
      <alignment vertical="top" wrapText="1"/>
    </xf>
    <xf numFmtId="0" fontId="2" fillId="5" borderId="0" xfId="0" applyFont="1" applyFill="1" applyBorder="1" applyAlignment="1">
      <alignment wrapText="1"/>
    </xf>
    <xf numFmtId="0" fontId="16" fillId="0" borderId="0" xfId="0" applyFont="1" applyFill="1" applyBorder="1"/>
    <xf numFmtId="0" fontId="0" fillId="5" borderId="0" xfId="0" applyFill="1" applyBorder="1" applyAlignment="1">
      <alignment horizontal="left" vertical="top" wrapText="1"/>
    </xf>
    <xf numFmtId="0" fontId="10" fillId="5" borderId="0" xfId="0" applyFont="1" applyFill="1"/>
    <xf numFmtId="0" fontId="0" fillId="5" borderId="0" xfId="0" applyFill="1" applyAlignment="1">
      <alignment wrapText="1"/>
    </xf>
    <xf numFmtId="8" fontId="0" fillId="5" borderId="0" xfId="0" applyNumberFormat="1" applyFill="1"/>
    <xf numFmtId="0" fontId="0" fillId="5" borderId="0" xfId="0" applyFill="1" applyBorder="1" applyAlignment="1">
      <alignment horizontal="left" vertical="top"/>
    </xf>
    <xf numFmtId="0" fontId="19" fillId="5" borderId="0" xfId="0" applyFont="1" applyFill="1" applyBorder="1"/>
    <xf numFmtId="0" fontId="19" fillId="0" borderId="1" xfId="0" applyFont="1" applyBorder="1" applyAlignment="1">
      <alignment horizontal="left" vertical="top"/>
    </xf>
    <xf numFmtId="0" fontId="19" fillId="0" borderId="2" xfId="0" applyFont="1" applyBorder="1" applyAlignment="1">
      <alignment horizontal="left" vertical="top"/>
    </xf>
    <xf numFmtId="0" fontId="19" fillId="0" borderId="3" xfId="0" applyFont="1" applyBorder="1" applyAlignment="1">
      <alignment horizontal="left" vertical="top"/>
    </xf>
    <xf numFmtId="0" fontId="27" fillId="5" borderId="0" xfId="0" applyFont="1" applyFill="1" applyBorder="1"/>
    <xf numFmtId="0" fontId="28" fillId="4" borderId="0" xfId="0" applyFont="1" applyFill="1" applyAlignment="1">
      <alignment horizontal="left" vertical="top"/>
    </xf>
    <xf numFmtId="0" fontId="27" fillId="0" borderId="0" xfId="0" applyFont="1" applyAlignment="1">
      <alignment horizontal="left" vertical="top" wrapText="1"/>
    </xf>
    <xf numFmtId="6" fontId="10" fillId="5" borderId="0" xfId="1" applyNumberFormat="1" applyFont="1" applyFill="1" applyBorder="1"/>
  </cellXfs>
  <cellStyles count="4">
    <cellStyle name="Currency" xfId="1" builtinId="4"/>
    <cellStyle name="Hyperlink" xfId="3" builtinId="8"/>
    <cellStyle name="Normal" xfId="0" builtinId="0"/>
    <cellStyle name="Percent" xfId="2" builtinId="5"/>
  </cellStyles>
  <dxfs count="91">
    <dxf>
      <font>
        <color rgb="FF9C5700"/>
      </font>
      <fill>
        <patternFill patternType="solid">
          <fgColor indexed="64"/>
          <bgColor rgb="FFFFEB9C"/>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5700"/>
      </font>
      <fill>
        <patternFill>
          <bgColor rgb="FFFFEB9C"/>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5700"/>
      </font>
      <fill>
        <patternFill patternType="solid">
          <fgColor indexed="64"/>
          <bgColor rgb="FFFFEB9C"/>
        </patternFill>
      </fill>
    </dxf>
    <dxf>
      <font>
        <color rgb="FF006100"/>
      </font>
      <fill>
        <patternFill patternType="solid">
          <fgColor indexed="64"/>
          <bgColor rgb="FFC6EFCE"/>
        </patternFill>
      </fill>
    </dxf>
    <dxf>
      <font>
        <color rgb="FF9C5700"/>
      </font>
      <fill>
        <patternFill patternType="solid">
          <fgColor indexed="64"/>
          <bgColor rgb="FFFFEB9C"/>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5700"/>
      </font>
      <fill>
        <patternFill patternType="solid">
          <fgColor indexed="64"/>
          <bgColor rgb="FFFFEB9C"/>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5700"/>
      </font>
      <fill>
        <patternFill patternType="solid">
          <fgColor indexed="64"/>
          <bgColor rgb="FFFFEB9C"/>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5700"/>
      </font>
      <fill>
        <patternFill patternType="solid">
          <fgColor indexed="64"/>
          <bgColor rgb="FFFFEB9C"/>
        </patternFill>
      </fill>
    </dxf>
    <dxf>
      <font>
        <color rgb="FF9C0006"/>
      </font>
      <fill>
        <patternFill patternType="solid">
          <fgColor indexed="64"/>
          <bgColor rgb="FFFFC7CE"/>
        </patternFill>
      </fill>
    </dxf>
    <dxf>
      <font>
        <color rgb="FF9C5700"/>
      </font>
      <fill>
        <patternFill patternType="solid">
          <fgColor indexed="64"/>
          <bgColor rgb="FFFFEB9C"/>
        </patternFill>
      </fill>
    </dxf>
    <dxf>
      <font>
        <b/>
        <i val="0"/>
        <color rgb="FF9C0006"/>
      </font>
      <fill>
        <patternFill patternType="solid">
          <fgColor indexed="64"/>
          <bgColor rgb="FFFFC7CE"/>
        </patternFill>
      </fill>
    </dxf>
    <dxf>
      <font>
        <color rgb="FF9C5700"/>
      </font>
      <fill>
        <patternFill patternType="solid">
          <fgColor indexed="64"/>
          <bgColor rgb="FFFFEB9C"/>
        </patternFill>
      </fill>
    </dxf>
    <dxf>
      <font>
        <color rgb="FF9C0006"/>
      </font>
      <fill>
        <patternFill patternType="solid">
          <fgColor indexed="64"/>
          <bgColor rgb="FFFFC7CE"/>
        </patternFill>
      </fill>
    </dxf>
    <dxf>
      <font>
        <b val="0"/>
        <i val="0"/>
        <strike val="0"/>
        <condense val="0"/>
        <extend val="0"/>
        <outline val="0"/>
        <shadow val="0"/>
        <u val="none"/>
        <vertAlign val="baseline"/>
        <sz val="12"/>
        <color theme="1"/>
        <name val="Aptos Narrow"/>
        <family val="2"/>
        <scheme val="minor"/>
      </font>
      <numFmt numFmtId="164" formatCode="0.0%"/>
    </dxf>
    <dxf>
      <numFmt numFmtId="10" formatCode="&quot;$&quot;#,##0_);[Red]\(&quot;$&quot;#,##0\)"/>
    </dxf>
    <dxf>
      <font>
        <b/>
        <i val="0"/>
        <strike val="0"/>
        <condense val="0"/>
        <extend val="0"/>
        <outline val="0"/>
        <shadow val="0"/>
        <u val="none"/>
        <vertAlign val="baseline"/>
        <sz val="12"/>
        <color theme="1"/>
        <name val="Aptos Narrow"/>
        <family val="2"/>
        <scheme val="minor"/>
      </font>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2"/>
        <color theme="1"/>
        <name val="Aptos Narrow"/>
        <family val="2"/>
        <scheme val="minor"/>
      </font>
    </dxf>
    <dxf>
      <font>
        <b/>
        <i val="0"/>
        <strike val="0"/>
        <condense val="0"/>
        <extend val="0"/>
        <outline val="0"/>
        <shadow val="0"/>
        <u val="none"/>
        <vertAlign val="baseline"/>
        <sz val="12"/>
        <color theme="1"/>
        <name val="Aptos Narrow"/>
        <family val="2"/>
        <scheme val="minor"/>
      </font>
    </dxf>
    <dxf>
      <font>
        <b/>
        <i val="0"/>
        <strike val="0"/>
        <condense val="0"/>
        <extend val="0"/>
        <outline val="0"/>
        <shadow val="0"/>
        <u val="none"/>
        <vertAlign val="baseline"/>
        <sz val="12"/>
        <color theme="1"/>
        <name val="Aptos Narrow"/>
        <family val="2"/>
        <scheme val="minor"/>
      </font>
    </dxf>
    <dxf>
      <font>
        <b/>
        <i val="0"/>
        <strike val="0"/>
        <condense val="0"/>
        <extend val="0"/>
        <outline val="0"/>
        <shadow val="0"/>
        <u val="none"/>
        <vertAlign val="baseline"/>
        <sz val="12"/>
        <color theme="1"/>
        <name val="Aptos Narrow"/>
        <family val="2"/>
        <scheme val="minor"/>
      </font>
    </dxf>
    <dxf>
      <numFmt numFmtId="10" formatCode="&quot;$&quot;#,##0_);[Red]\(&quot;$&quot;#,##0\)"/>
    </dxf>
    <dxf>
      <alignment horizontal="general" vertical="bottom" textRotation="0" wrapText="1" indent="0" justifyLastLine="0" shrinkToFit="0" readingOrder="0"/>
    </dxf>
    <dxf>
      <numFmt numFmtId="10" formatCode="&quot;$&quot;#,##0_);[Red]\(&quot;$&quot;#,##0\)"/>
    </dxf>
    <dxf>
      <numFmt numFmtId="10" formatCode="&quot;$&quot;#,##0_);[Red]\(&quot;$&quot;#,##0\)"/>
    </dxf>
    <dxf>
      <font>
        <b/>
        <i val="0"/>
        <strike val="0"/>
        <condense val="0"/>
        <extend val="0"/>
        <outline val="0"/>
        <shadow val="0"/>
        <u val="none"/>
        <vertAlign val="baseline"/>
        <sz val="12"/>
        <color theme="1"/>
        <name val="Aptos Narrow"/>
        <family val="2"/>
        <scheme val="minor"/>
      </font>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font>
        <b/>
        <i val="0"/>
        <strike val="0"/>
        <condense val="0"/>
        <extend val="0"/>
        <outline val="0"/>
        <shadow val="0"/>
        <u val="none"/>
        <vertAlign val="baseline"/>
        <sz val="12"/>
        <color theme="1"/>
        <name val="Aptos Narrow"/>
        <family val="2"/>
        <scheme val="minor"/>
      </font>
    </dxf>
    <dxf>
      <numFmt numFmtId="10" formatCode="&quot;$&quot;#,##0_);[Red]\(&quot;$&quot;#,##0\)"/>
    </dxf>
    <dxf>
      <numFmt numFmtId="10" formatCode="&quot;$&quot;#,##0_);[Red]\(&quot;$&quot;#,##0\)"/>
    </dxf>
    <dxf>
      <font>
        <b/>
        <i val="0"/>
        <strike val="0"/>
        <condense val="0"/>
        <extend val="0"/>
        <outline val="0"/>
        <shadow val="0"/>
        <u val="none"/>
        <vertAlign val="baseline"/>
        <sz val="12"/>
        <color theme="1"/>
        <name val="Aptos Narrow"/>
        <family val="2"/>
        <scheme val="minor"/>
      </font>
    </dxf>
    <dxf>
      <alignment horizontal="general" vertical="bottom" textRotation="0" wrapText="1" indent="0" justifyLastLine="0" shrinkToFit="0" readingOrder="0"/>
    </dxf>
    <dxf>
      <numFmt numFmtId="12" formatCode="&quot;$&quot;#,##0.00_);[Red]\(&quot;$&quot;#,##0.0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b/>
        <i val="0"/>
        <strike val="0"/>
        <condense val="0"/>
        <extend val="0"/>
        <outline val="0"/>
        <shadow val="0"/>
        <u val="none"/>
        <vertAlign val="baseline"/>
        <sz val="12"/>
        <color theme="1"/>
        <name val="Aptos Narrow"/>
        <family val="2"/>
        <scheme val="minor"/>
      </font>
    </dxf>
    <dxf>
      <numFmt numFmtId="21" formatCode="d\-mmm"/>
    </dxf>
    <dxf>
      <font>
        <b/>
        <i val="0"/>
        <strike val="0"/>
        <condense val="0"/>
        <extend val="0"/>
        <outline val="0"/>
        <shadow val="0"/>
        <u val="none"/>
        <vertAlign val="baseline"/>
        <sz val="12"/>
        <color theme="1"/>
        <name val="Aptos Narrow"/>
        <scheme val="minor"/>
      </font>
    </dxf>
    <dxf>
      <numFmt numFmtId="164" formatCode="0.0%"/>
    </dxf>
    <dxf>
      <font>
        <b val="0"/>
        <i val="0"/>
        <strike val="0"/>
        <condense val="0"/>
        <extend val="0"/>
        <outline val="0"/>
        <shadow val="0"/>
        <u val="none"/>
        <vertAlign val="baseline"/>
        <sz val="12"/>
        <color theme="1"/>
        <name val="Aptos Narrow"/>
        <family val="2"/>
        <scheme val="minor"/>
      </font>
      <numFmt numFmtId="164" formatCode="0.0%"/>
    </dxf>
    <dxf>
      <numFmt numFmtId="10" formatCode="&quot;$&quot;#,##0_);[Red]\(&quot;$&quot;#,##0\)"/>
    </dxf>
    <dxf>
      <numFmt numFmtId="10" formatCode="&quot;$&quot;#,##0_);[Red]\(&quot;$&quot;#,##0\)"/>
    </dxf>
    <dxf>
      <numFmt numFmtId="10" formatCode="&quot;$&quot;#,##0_);[Red]\(&quot;$&quot;#,##0\)"/>
    </dxf>
    <dxf>
      <font>
        <b val="0"/>
        <i val="0"/>
        <strike val="0"/>
        <condense val="0"/>
        <extend val="0"/>
        <outline val="0"/>
        <shadow val="0"/>
        <u val="none"/>
        <vertAlign val="baseline"/>
        <sz val="12"/>
        <color theme="1"/>
        <name val="Aptos Narrow"/>
        <family val="2"/>
        <scheme val="minor"/>
      </font>
      <numFmt numFmtId="164" formatCode="0.0%"/>
    </dxf>
    <dxf>
      <font>
        <b/>
        <i val="0"/>
        <strike val="0"/>
        <condense val="0"/>
        <extend val="0"/>
        <outline val="0"/>
        <shadow val="0"/>
        <u val="none"/>
        <vertAlign val="baseline"/>
        <sz val="12"/>
        <color theme="1"/>
        <name val="Aptos Narrow"/>
        <family val="2"/>
        <scheme val="minor"/>
      </font>
    </dxf>
    <dxf>
      <numFmt numFmtId="10" formatCode="&quot;$&quot;#,##0_);[Red]\(&quot;$&quot;#,##0\)"/>
    </dxf>
    <dxf>
      <numFmt numFmtId="10" formatCode="&quot;$&quot;#,##0_);[Red]\(&quot;$&quot;#,##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12" formatCode="&quot;$&quot;#,##0.00_);[Red]\(&quot;$&quot;#,##0.00\)"/>
    </dxf>
    <dxf>
      <numFmt numFmtId="12" formatCode="&quot;$&quot;#,##0.00_);[Red]\(&quot;$&quot;#,##0.00\)"/>
    </dxf>
    <dxf>
      <font>
        <b/>
        <i val="0"/>
        <strike val="0"/>
        <condense val="0"/>
        <extend val="0"/>
        <outline val="0"/>
        <shadow val="0"/>
        <u val="none"/>
        <vertAlign val="baseline"/>
        <sz val="12"/>
        <color theme="1"/>
        <name val="Aptos Narrow"/>
        <family val="2"/>
        <scheme val="minor"/>
      </font>
    </dxf>
    <dxf>
      <alignment horizontal="general" vertical="bottom" textRotation="0" wrapText="1" indent="0" justifyLastLine="0" shrinkToFit="0" readingOrder="0"/>
    </dxf>
    <dxf>
      <border outline="0">
        <bottom style="thin">
          <color indexed="64"/>
        </bottom>
      </border>
    </dxf>
    <dxf>
      <border outline="0">
        <bottom style="thin">
          <color indexed="64"/>
        </bottom>
      </border>
    </dxf>
    <dxf>
      <font>
        <b/>
        <i val="0"/>
        <strike val="0"/>
        <condense val="0"/>
        <extend val="0"/>
        <outline val="0"/>
        <shadow val="0"/>
        <u val="none"/>
        <vertAlign val="baseline"/>
        <sz val="12"/>
        <color theme="1"/>
        <name val="Aptos Narrow"/>
        <family val="2"/>
        <scheme val="minor"/>
      </font>
    </dxf>
    <dxf>
      <font>
        <b/>
        <i val="0"/>
        <strike val="0"/>
        <condense val="0"/>
        <extend val="0"/>
        <outline val="0"/>
        <shadow val="0"/>
        <u val="none"/>
        <vertAlign val="baseline"/>
        <sz val="12"/>
        <color theme="1"/>
        <name val="Aptos Narrow"/>
        <family val="2"/>
        <scheme val="minor"/>
      </font>
      <border diagonalUp="0" diagonalDown="0" outline="0">
        <left style="thin">
          <color indexed="64"/>
        </left>
        <right style="thin">
          <color indexed="64"/>
        </right>
        <top/>
        <bottom/>
      </border>
    </dxf>
    <dxf>
      <border diagonalUp="0" diagonalDown="0">
        <left style="thin">
          <color indexed="64"/>
        </left>
        <right/>
        <top style="thin">
          <color indexed="64"/>
        </top>
        <bottom/>
        <vertical/>
        <horizontal/>
      </border>
    </dxf>
    <dxf>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vertical/>
        <horizontal/>
      </border>
    </dxf>
    <dxf>
      <border diagonalUp="0" diagonalDown="0">
        <left/>
        <right style="thin">
          <color indexed="64"/>
        </right>
        <top style="thin">
          <color indexed="64"/>
        </top>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3E5A6A-9EA9-DC47-B482-CE4D1C46D702}" name="Table1" displayName="Table1" ref="A5:D6" totalsRowShown="0" headerRowDxfId="83" headerRowBorderDxfId="89" tableBorderDxfId="90" totalsRowBorderDxfId="88">
  <autoFilter ref="A5:D6" xr:uid="{383E5A6A-9EA9-DC47-B482-CE4D1C46D702}">
    <filterColumn colId="0" hiddenButton="1"/>
    <filterColumn colId="1" hiddenButton="1"/>
    <filterColumn colId="2" hiddenButton="1"/>
    <filterColumn colId="3" hiddenButton="1"/>
  </autoFilter>
  <tableColumns count="4">
    <tableColumn id="1" xr3:uid="{AEDF3CE8-2DEB-EE45-8C53-1F85628633A7}" name="Industry" dataDxfId="87"/>
    <tableColumn id="2" xr3:uid="{0B994CEB-94AD-4140-97F8-CDD33306A830}" name="Software" dataDxfId="86"/>
    <tableColumn id="3" xr3:uid="{65967071-3AC9-3942-AA02-B3F2B5DB301B}" name="Headquarters" dataDxfId="85"/>
    <tableColumn id="4" xr3:uid="{1BD4C854-3956-9E49-957F-40F4FCA0FAD5}" name="Pay Frequency" dataDxfId="84"/>
  </tableColumns>
  <tableStyleInfo name="TableStyleMedium2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FE775DD-B461-4347-8D3F-819C8C31609A}" name="Table2" displayName="Table2" ref="A14:J24" totalsRowShown="0" headerRowDxfId="82">
  <autoFilter ref="A14:J24" xr:uid="{6FE775DD-B461-4347-8D3F-819C8C31609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ABB2A01-1A23-FC47-916F-0966E23A200F}" name="Employee ID"/>
    <tableColumn id="2" xr3:uid="{BD1FCF42-195A-4B46-ACE1-468769C94BC1}" name="Employee"/>
    <tableColumn id="3" xr3:uid="{C31C7BF3-38E7-6B49-9222-FBD5521A5C1C}" name="Department"/>
    <tableColumn id="4" xr3:uid="{5FD14CDB-D49B-CB47-8013-8AE825FDE7A5}" name="Location"/>
    <tableColumn id="5" xr3:uid="{405A7EED-0E3B-A940-8A6C-B711080C17D1}" name="Status"/>
    <tableColumn id="6" xr3:uid="{224D6D44-F303-774C-A528-92B3AA22879B}" name="Pay Type"/>
    <tableColumn id="7" xr3:uid="{868140BC-A833-124B-A94F-8B5A38DEF6A5}" name="Regular Hours"/>
    <tableColumn id="8" xr3:uid="{E671470B-0A1C-874B-A4AA-533A39A3CFA8}" name="OT Hours"/>
    <tableColumn id="9" xr3:uid="{950491E5-BEFA-CA4D-A832-6FE31057E0B7}" name="Hourly Rate" dataDxfId="77"/>
    <tableColumn id="10" xr3:uid="{680896A4-4C9A-0F48-AACB-EA763B9AB3A2}" name="Gross Pay" dataDxfId="76"/>
  </tableColumns>
  <tableStyleInfo name="TableStyleMedium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A7F74B7-2140-0943-A44D-A7F630110CEF}" name="Table3" displayName="Table3" ref="A44:E54" totalsRowShown="0" headerRowDxfId="78" dataDxfId="79" headerRowBorderDxfId="80" tableBorderDxfId="81">
  <autoFilter ref="A44:E54" xr:uid="{2A7F74B7-2140-0943-A44D-A7F630110CEF}">
    <filterColumn colId="0" hiddenButton="1"/>
    <filterColumn colId="1" hiddenButton="1"/>
    <filterColumn colId="2" hiddenButton="1"/>
    <filterColumn colId="3" hiddenButton="1"/>
    <filterColumn colId="4" hiddenButton="1"/>
  </autoFilter>
  <tableColumns count="5">
    <tableColumn id="1" xr3:uid="{F501A1CD-2634-1E45-B325-ED46A02A8C59}" name="Employee"/>
    <tableColumn id="2" xr3:uid="{094C7B36-23E9-2D46-A3B4-89252F172225}" name="Observation" dataDxfId="75"/>
    <tableColumn id="3" xr3:uid="{D96B0134-ADDF-A34C-A43B-70661D422E93}" name="Why It Matters" dataDxfId="74"/>
    <tableColumn id="4" xr3:uid="{A8571B47-41AC-0A43-A0AF-72A79C41C66E}" name="Recommended Next Step" dataDxfId="73"/>
    <tableColumn id="5" xr3:uid="{2592205F-EC3A-0546-A69E-71189210BB12}" name="Priority"/>
  </tableColumns>
  <tableStyleInfo name="TableStyleMedium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51AEDD7-0B28-4149-813B-66FA9F159C6C}" name="Table4" displayName="Table4" ref="A16:F23" totalsRowShown="0" headerRowDxfId="70">
  <autoFilter ref="A16:F23" xr:uid="{351AEDD7-0B28-4149-813B-66FA9F159C6C}">
    <filterColumn colId="0" hiddenButton="1"/>
    <filterColumn colId="1" hiddenButton="1"/>
    <filterColumn colId="2" hiddenButton="1"/>
    <filterColumn colId="3" hiddenButton="1"/>
    <filterColumn colId="4" hiddenButton="1"/>
    <filterColumn colId="5" hiddenButton="1"/>
  </autoFilter>
  <tableColumns count="6">
    <tableColumn id="1" xr3:uid="{BE0106E9-E711-AB4C-9827-CE566B7B52DA}" name="Department"/>
    <tableColumn id="2" xr3:uid="{028E131D-1589-154E-A6BC-D933B354CFCA}" name="Previous OT Hours"/>
    <tableColumn id="3" xr3:uid="{B62BADED-F710-404F-82FD-857F0A99A4C2}" name="Current OT Hours"/>
    <tableColumn id="4" xr3:uid="{AF395F61-6C52-6C48-B882-4C60B174C066}" name="Change"/>
    <tableColumn id="5" xr3:uid="{1A5D0D21-0C3C-5846-8142-100D11DE10BC}" name="Previous OT Cost" dataDxfId="72"/>
    <tableColumn id="6" xr3:uid="{445B8E35-D644-904D-A104-13802A5197F3}" name="Current OT Cost" dataDxfId="71"/>
  </tableColumns>
  <tableStyleInfo name="TableStyleMedium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EF008CC-394B-6344-AF94-A7DCA1F43A7B}" name="Table5" displayName="Table5" ref="A63:K71" totalsRowShown="0" headerRowDxfId="63">
  <autoFilter ref="A63:K71" xr:uid="{0EF008CC-394B-6344-AF94-A7DCA1F43A7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E5EB0175-767A-0041-80D4-5F4091EA0322}" name="Department"/>
    <tableColumn id="2" xr3:uid="{D1DFEE06-891B-0A43-AB23-F4B8B17E8764}" name="Previous OT Hours"/>
    <tableColumn id="3" xr3:uid="{E07B0018-BC29-DD48-93E8-A71A47034A50}" name="Current OT Hours"/>
    <tableColumn id="4" xr3:uid="{D3727CA9-7D49-1648-8211-1BD086564169}" name="OT Variance"/>
    <tableColumn id="5" xr3:uid="{0F4DF983-C252-1E4E-B5A2-FF2561B38668}" name="% Change/Increase (Hours)" dataDxfId="69" dataCellStyle="Percent"/>
    <tableColumn id="6" xr3:uid="{37F4AE63-1CD6-EF4C-9115-9FD3C30C84F3}" name="Previous OT Cost" dataDxfId="68"/>
    <tableColumn id="7" xr3:uid="{D1F9C495-D850-CB48-916B-84D9499A9448}" name="Current OT Cost" dataDxfId="67"/>
    <tableColumn id="8" xr3:uid="{03A9D69E-29BB-624F-84D0-A5DFE8B0A3A3}" name="OT Cost Variance" dataDxfId="66"/>
    <tableColumn id="9" xr3:uid="{4B69023F-FD00-D140-AFDE-B6E3A801B121}" name="% Change/Increase (Cost)" dataDxfId="65" dataCellStyle="Percent"/>
    <tableColumn id="10" xr3:uid="{0C1A6056-F07A-8340-AC97-8AB86E910DC5}" name="Contribution to Total Increase" dataDxfId="64"/>
    <tableColumn id="11" xr3:uid="{9A38B402-FD83-5249-80A6-81FFB1FDEDE2}" name="Notes"/>
  </tableColumns>
  <tableStyleInfo name="TableStyleMedium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4DD0E59-552A-004A-AE6C-3461962A0666}" name="Table6" displayName="Table6" ref="A18:G28" totalsRowShown="0" headerRowDxfId="61">
  <autoFilter ref="A18:G28" xr:uid="{94DD0E59-552A-004A-AE6C-3461962A066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E7464B2-2E9D-BC4B-BACE-FCCA89663E10}" name="Employee"/>
    <tableColumn id="2" xr3:uid="{6E0AF0A4-5FBE-FA40-96D1-32AE0AAB9F99}" name="Department"/>
    <tableColumn id="3" xr3:uid="{6BAB4C3B-FB41-604B-8388-79605B985199}" name="Date" dataDxfId="62"/>
    <tableColumn id="4" xr3:uid="{D0A68926-DC3B-074D-9592-84E6C512199E}" name="Shift Hours"/>
    <tableColumn id="5" xr3:uid="{76E90D76-F085-4F48-AE39-8EE88D5C33DA}" name="Meal Break"/>
    <tableColumn id="6" xr3:uid="{FA9160F9-C4F5-2243-BE46-63983AABFEA4}" name="Premium Paid"/>
    <tableColumn id="7" xr3:uid="{24743484-75BB-6E44-BFDF-AC79D8AC3240}" name="Notes"/>
  </tableColumns>
  <tableStyleInfo name="TableStyleMedium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0F5E122-6DFE-6045-8A75-1C80ACE768C1}" name="Table7" displayName="Table7" ref="A63:F74" totalsRowShown="0" headerRowDxfId="49">
  <autoFilter ref="A63:F74" xr:uid="{40F5E122-6DFE-6045-8A75-1C80ACE768C1}">
    <filterColumn colId="0" hiddenButton="1"/>
    <filterColumn colId="1" hiddenButton="1"/>
    <filterColumn colId="2" hiddenButton="1"/>
    <filterColumn colId="3" hiddenButton="1"/>
    <filterColumn colId="4" hiddenButton="1"/>
    <filterColumn colId="5" hiddenButton="1"/>
  </autoFilter>
  <tableColumns count="6">
    <tableColumn id="1" xr3:uid="{C89C11BB-1E96-634D-A1F4-0087FCE3B380}" name="Employee"/>
    <tableColumn id="2" xr3:uid="{8379B859-ADC9-0A45-9488-7A8D98D4FE19}" name="Exception"/>
    <tableColumn id="3" xr3:uid="{B5FFCA04-440B-5044-A809-AD21B4512853}" name="Evidence"/>
    <tableColumn id="4" xr3:uid="{D20F569C-B6FC-774E-8651-D3A95806B131}" name="Does It Require Review?"/>
    <tableColumn id="5" xr3:uid="{388A88A7-6C48-B64D-A56E-A50F28A25F64}" name="Potential Premium" dataDxfId="51"/>
    <tableColumn id="6" xr3:uid="{30ACDD88-9666-3F40-BD0E-7CF6A6A94BFE}" name="Questions" dataDxfId="50"/>
  </tableColumns>
  <tableStyleInfo name="TableStyleMedium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57EB4EF-F273-C848-9C04-CD6EB851EDDD}" name="Table8" displayName="Table8" ref="A16:C22" totalsRowShown="0" headerRowDxfId="46">
  <autoFilter ref="A16:C22" xr:uid="{857EB4EF-F273-C848-9C04-CD6EB851EDDD}">
    <filterColumn colId="0" hiddenButton="1"/>
    <filterColumn colId="1" hiddenButton="1"/>
    <filterColumn colId="2" hiddenButton="1"/>
  </autoFilter>
  <tableColumns count="3">
    <tableColumn id="1" xr3:uid="{43B08F4D-77F5-034D-AF35-B3B124DDA42D}" name="Employee"/>
    <tableColumn id="2" xr3:uid="{3E4B663E-1049-AF48-A64C-50470B80B966}" name="Annual Salary" dataDxfId="48"/>
    <tableColumn id="3" xr3:uid="{FA4B8250-CC01-E04C-B4C2-861E374C335D}" name="Gross Bonus" dataDxfId="47"/>
  </tableColumns>
  <tableStyleInfo name="TableStyleMedium6"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C29928A-76C8-E346-9A88-7FC765A0CDF4}" name="Table9" displayName="Table9" ref="A26:H32" totalsRowShown="0" headerRowDxfId="38">
  <autoFilter ref="A26:H32" xr:uid="{6C29928A-76C8-E346-9A88-7FC765A0CDF4}">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5B990399-97D7-9241-84B5-05FF36E1250C}" name="Employee"/>
    <tableColumn id="2" xr3:uid="{FE009762-D0DC-6244-B448-42EF91764630}" name="Gross Bonus" dataDxfId="45"/>
    <tableColumn id="3" xr3:uid="{35606E3A-B2FB-F243-9BAA-8471D88D8E21}" name="Federal Withholding" dataDxfId="44"/>
    <tableColumn id="4" xr3:uid="{07C3438B-BCC4-E24D-B9C4-48070E8C3189}" name="CA Withholding" dataDxfId="43"/>
    <tableColumn id="5" xr3:uid="{1945EEBF-A1F4-A14B-B8BE-FB1053F54491}" name="Social Security" dataDxfId="42"/>
    <tableColumn id="6" xr3:uid="{FB622DE2-8F2F-0A4C-A6A5-CAA1CBA25BF7}" name="Medicare" dataDxfId="41"/>
    <tableColumn id="7" xr3:uid="{5217EDFF-3732-6243-9250-BDF718D3246E}" name="Other Deductions" dataDxfId="40"/>
    <tableColumn id="8" xr3:uid="{9328EFD8-7E9C-BD4F-82AD-04A1A52824ED}" name="Net Bonus" dataDxfId="39"/>
  </tableColumns>
  <tableStyleInfo name="TableStyleMedium6"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3E196FC-8E4A-3845-9848-37FD44E6BB9A}" name="Table10" displayName="Table10" ref="A53:H59" totalsRowShown="0" headerRowDxfId="33">
  <autoFilter ref="A53:H59" xr:uid="{83E196FC-8E4A-3845-9848-37FD44E6BB9A}">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2235AFEB-9021-E844-BD30-17C0F076372E}" name="Employee"/>
    <tableColumn id="2" xr3:uid="{725DEFBF-0AD9-3A4F-AB50-5B76A7021AAE}" name="Gross Bonus" dataDxfId="37"/>
    <tableColumn id="3" xr3:uid="{A4D364E6-B05C-B748-BF04-4EB5EDC303E7}" name="Total Withholding/Deductions" dataDxfId="36">
      <calculatedColumnFormula>SUM(C27:G27)</calculatedColumnFormula>
    </tableColumn>
    <tableColumn id="4" xr3:uid="{65F6B2C8-1DAB-7740-9020-D652132CEF74}" name="Net Bonus" dataDxfId="24"/>
    <tableColumn id="5" xr3:uid="{93C78529-9282-264D-B07E-CE0B7EAB17B2}" name="% of Bonus Received" dataDxfId="23" dataCellStyle="Percent">
      <calculatedColumnFormula>D54/B54</calculatedColumnFormula>
    </tableColumn>
    <tableColumn id="6" xr3:uid="{9BD9AF6D-76AD-6841-B91C-45846376E94C}" name="Initial Assessment"/>
    <tableColumn id="7" xr3:uid="{0FB5EFA5-5638-854F-9269-86A240C8BE3B}" name="Questions" dataDxfId="35"/>
    <tableColumn id="8" xr3:uid="{86778534-B389-F545-8419-0B52CC9F6505}" name="Net + Withholding/Deductions (Check)" dataDxfId="34">
      <calculatedColumnFormula>C54+D54</calculatedColumnFormula>
    </tableColumn>
  </tableColumns>
  <tableStyleInfo name="TableStyleMedium6"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26B5787-37D6-7742-877D-496E9CC41DAD}" name="Table11" displayName="Table11" ref="A20:D27" totalsRowShown="0" headerRowDxfId="32">
  <autoFilter ref="A20:D27" xr:uid="{F26B5787-37D6-7742-877D-496E9CC41DAD}">
    <filterColumn colId="0" hiddenButton="1"/>
    <filterColumn colId="1" hiddenButton="1"/>
    <filterColumn colId="2" hiddenButton="1"/>
    <filterColumn colId="3" hiddenButton="1"/>
  </autoFilter>
  <tableColumns count="4">
    <tableColumn id="1" xr3:uid="{A7EEE9A1-77BD-D34E-A85A-568300CE13F1}" name="Metric"/>
    <tableColumn id="2" xr3:uid="{B0955281-F346-1747-A896-EE7ADE4AE33D}" name="September 16–30"/>
    <tableColumn id="3" xr3:uid="{A0CBEE03-A5F4-B34E-AEE3-2A8D0A029114}" name="October 1–15"/>
    <tableColumn id="4" xr3:uid="{9E7F8381-C368-864D-A364-E83EBFFE04DA}" name="Change"/>
  </tableColumns>
  <tableStyleInfo name="TableStyleMedium6"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EE8EF0D-794B-8B4B-8D2F-753D2AD567E2}" name="Table12" displayName="Table12" ref="A31:D38" totalsRowShown="0" headerRowDxfId="31">
  <autoFilter ref="A31:D38" xr:uid="{0EE8EF0D-794B-8B4B-8D2F-753D2AD567E2}">
    <filterColumn colId="0" hiddenButton="1"/>
    <filterColumn colId="1" hiddenButton="1"/>
    <filterColumn colId="2" hiddenButton="1"/>
    <filterColumn colId="3" hiddenButton="1"/>
  </autoFilter>
  <tableColumns count="4">
    <tableColumn id="1" xr3:uid="{2848D8AA-BAD0-AC4F-90E2-3C3E014FCFAC}" name="Department"/>
    <tableColumn id="2" xr3:uid="{CCAB93B3-0CAA-8245-9A6C-FE076E011C48}" name="Sept. OT Hours"/>
    <tableColumn id="3" xr3:uid="{BC8F95B1-FACF-C940-ACFA-3A9F6508D7C0}" name="Oct. OT Hours"/>
    <tableColumn id="4" xr3:uid="{ED866B60-9FF7-9E4C-8554-482AD066716F}" name="Change"/>
  </tableColumns>
  <tableStyleInfo name="TableStyleMedium6"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559D49D-89A8-D84C-8D90-FF7303F5A8E2}" name="Table13" displayName="Table13" ref="A42:C47" totalsRowShown="0" headerRowDxfId="30">
  <autoFilter ref="A42:C47" xr:uid="{8559D49D-89A8-D84C-8D90-FF7303F5A8E2}">
    <filterColumn colId="0" hiddenButton="1"/>
    <filterColumn colId="1" hiddenButton="1"/>
    <filterColumn colId="2" hiddenButton="1"/>
  </autoFilter>
  <tableColumns count="3">
    <tableColumn id="1" xr3:uid="{FD20606F-3A35-6E46-839A-EE276A4FD47E}" name="Correction Type"/>
    <tableColumn id="2" xr3:uid="{0D91E962-73C3-5B4F-86CA-4A410E60D6CF}" name="September"/>
    <tableColumn id="3" xr3:uid="{78281021-9CD2-EC4E-88E5-8F388D74D18B}" name="October"/>
  </tableColumns>
  <tableStyleInfo name="TableStyleMedium6"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ADFD6A1-E391-474A-9EDF-33FAD5A7BABD}" name="Table14" displayName="Table14" ref="A105:F111" totalsRowShown="0" headerRowDxfId="25" dataDxfId="26">
  <autoFilter ref="A105:F111" xr:uid="{BADFD6A1-E391-474A-9EDF-33FAD5A7BABD}">
    <filterColumn colId="0" hiddenButton="1"/>
    <filterColumn colId="1" hiddenButton="1"/>
    <filterColumn colId="2" hiddenButton="1"/>
    <filterColumn colId="3" hiddenButton="1"/>
    <filterColumn colId="4" hiddenButton="1"/>
    <filterColumn colId="5" hiddenButton="1"/>
  </autoFilter>
  <tableColumns count="6">
    <tableColumn id="1" xr3:uid="{DA46583F-4162-4C44-93E8-086F4E88F35E}" name="Finding"/>
    <tableColumn id="2" xr3:uid="{F8D202CB-1615-4C44-A139-C58048CAF0E3}" name="Evidence"/>
    <tableColumn id="3" xr3:uid="{8D4D18CA-32C6-C841-B418-B15604BC7D6F}" name="Business Impact" dataDxfId="29"/>
    <tableColumn id="4" xr3:uid="{345A3253-9F95-AD45-A74B-ED9BAA9A6ECC}" name="Risk" dataDxfId="28"/>
    <tableColumn id="5" xr3:uid="{ABC0C9CF-0E3A-E94D-96FF-9A5F7E88D9A9}" name="Priority"/>
    <tableColumn id="6" xr3:uid="{9CD445BD-3902-1147-AA97-890D1A5847CF}" name="Recommended Action" dataDxfId="27"/>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7D3589C-CFFD-A94B-8AF7-D12048B45569}">
  <we:reference id="wa200009404" version="1.0.0.8" store="en-US" storeType="OMEX"/>
  <we:alternateReferences>
    <we:reference id="wa200009404" version="1.0.0.8" store="" storeType="OMEX"/>
  </we:alternateReferences>
  <we:properties>
    <we:property name="claude.fileId" value="&quot;6454e1d5-1658-494e-b65b-e432a1659ec6&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table" Target="../tables/table6.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table" Target="../tables/table8.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table" Target="../tables/table11.xml"/><Relationship Id="rId4"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120E3-572C-F149-A0B8-E0B99919AD75}">
  <dimension ref="A1:F37"/>
  <sheetViews>
    <sheetView tabSelected="1" zoomScaleNormal="100" workbookViewId="0">
      <selection activeCell="A32" sqref="A32:D32"/>
    </sheetView>
  </sheetViews>
  <sheetFormatPr baseColWidth="10" defaultRowHeight="16" x14ac:dyDescent="0.2"/>
  <cols>
    <col min="1" max="1" width="36.1640625" customWidth="1"/>
    <col min="2" max="2" width="39.83203125" customWidth="1"/>
    <col min="3" max="3" width="26.6640625" customWidth="1"/>
    <col min="4" max="4" width="20.33203125" customWidth="1"/>
    <col min="5" max="5" width="11.5" customWidth="1"/>
    <col min="6" max="6" width="10.33203125" customWidth="1"/>
    <col min="7" max="7" width="11.6640625" customWidth="1"/>
    <col min="8" max="8" width="10.83203125" customWidth="1"/>
  </cols>
  <sheetData>
    <row r="1" spans="1:6" ht="32" x14ac:dyDescent="0.4">
      <c r="A1" s="79" t="s">
        <v>42</v>
      </c>
      <c r="B1" s="79"/>
    </row>
    <row r="2" spans="1:6" x14ac:dyDescent="0.2">
      <c r="A2" s="27" t="s">
        <v>471</v>
      </c>
      <c r="B2" s="27"/>
      <c r="C2" s="27"/>
    </row>
    <row r="3" spans="1:6" x14ac:dyDescent="0.2">
      <c r="A3" t="s">
        <v>134</v>
      </c>
    </row>
    <row r="4" spans="1:6" x14ac:dyDescent="0.2">
      <c r="F4" s="1"/>
    </row>
    <row r="5" spans="1:6" x14ac:dyDescent="0.2">
      <c r="A5" s="8" t="s">
        <v>68</v>
      </c>
      <c r="B5" s="32" t="s">
        <v>70</v>
      </c>
      <c r="C5" s="32" t="s">
        <v>167</v>
      </c>
      <c r="D5" s="7" t="s">
        <v>168</v>
      </c>
      <c r="F5" s="1"/>
    </row>
    <row r="6" spans="1:6" x14ac:dyDescent="0.2">
      <c r="A6" s="11" t="s">
        <v>69</v>
      </c>
      <c r="B6" s="33" t="s">
        <v>71</v>
      </c>
      <c r="C6" s="33" t="s">
        <v>166</v>
      </c>
      <c r="D6" s="34" t="s">
        <v>169</v>
      </c>
    </row>
    <row r="8" spans="1:6" x14ac:dyDescent="0.2">
      <c r="A8" s="76" t="s">
        <v>483</v>
      </c>
      <c r="B8" s="76"/>
      <c r="C8" s="76"/>
      <c r="D8" s="76"/>
    </row>
    <row r="9" spans="1:6" ht="27" x14ac:dyDescent="0.2">
      <c r="A9" s="77" t="s">
        <v>529</v>
      </c>
      <c r="B9" s="77"/>
      <c r="C9" s="77"/>
      <c r="D9" s="77"/>
    </row>
    <row r="10" spans="1:6" ht="36" customHeight="1" x14ac:dyDescent="0.2">
      <c r="A10" s="63" t="s">
        <v>472</v>
      </c>
      <c r="B10" s="63"/>
      <c r="C10" s="63"/>
      <c r="D10" s="63"/>
    </row>
    <row r="11" spans="1:6" x14ac:dyDescent="0.2">
      <c r="A11" s="17"/>
    </row>
    <row r="12" spans="1:6" x14ac:dyDescent="0.2">
      <c r="A12" s="76" t="s">
        <v>484</v>
      </c>
      <c r="B12" s="76"/>
      <c r="C12" s="76"/>
      <c r="D12" s="76"/>
    </row>
    <row r="13" spans="1:6" ht="27" x14ac:dyDescent="0.2">
      <c r="A13" s="77" t="s">
        <v>530</v>
      </c>
      <c r="B13" s="77"/>
      <c r="C13" s="77"/>
      <c r="D13" s="77"/>
    </row>
    <row r="14" spans="1:6" ht="35" customHeight="1" x14ac:dyDescent="0.2">
      <c r="A14" s="63" t="s">
        <v>492</v>
      </c>
      <c r="B14" s="63"/>
      <c r="C14" s="63"/>
      <c r="D14" s="63"/>
    </row>
    <row r="15" spans="1:6" x14ac:dyDescent="0.2">
      <c r="A15" s="17"/>
    </row>
    <row r="16" spans="1:6" x14ac:dyDescent="0.2">
      <c r="A16" s="76" t="s">
        <v>485</v>
      </c>
      <c r="B16" s="76"/>
      <c r="C16" s="76"/>
      <c r="D16" s="76"/>
    </row>
    <row r="17" spans="1:4" ht="27" x14ac:dyDescent="0.2">
      <c r="A17" s="77" t="s">
        <v>531</v>
      </c>
      <c r="B17" s="77"/>
      <c r="C17" s="77"/>
      <c r="D17" s="77"/>
    </row>
    <row r="18" spans="1:4" ht="35" customHeight="1" x14ac:dyDescent="0.2">
      <c r="A18" s="39" t="s">
        <v>473</v>
      </c>
      <c r="B18" s="39"/>
      <c r="C18" s="39"/>
      <c r="D18" s="39"/>
    </row>
    <row r="19" spans="1:4" x14ac:dyDescent="0.2">
      <c r="A19" s="1"/>
    </row>
    <row r="20" spans="1:4" x14ac:dyDescent="0.2">
      <c r="A20" s="76" t="s">
        <v>486</v>
      </c>
      <c r="B20" s="76"/>
      <c r="C20" s="76"/>
      <c r="D20" s="76"/>
    </row>
    <row r="21" spans="1:4" ht="27" x14ac:dyDescent="0.2">
      <c r="A21" s="77" t="s">
        <v>532</v>
      </c>
      <c r="B21" s="77"/>
      <c r="C21" s="77"/>
      <c r="D21" s="77"/>
    </row>
    <row r="22" spans="1:4" ht="34" customHeight="1" x14ac:dyDescent="0.2">
      <c r="A22" s="39" t="s">
        <v>474</v>
      </c>
      <c r="B22" s="39"/>
      <c r="C22" s="39"/>
      <c r="D22" s="39"/>
    </row>
    <row r="24" spans="1:4" x14ac:dyDescent="0.2">
      <c r="A24" s="76" t="s">
        <v>487</v>
      </c>
      <c r="B24" s="76"/>
      <c r="C24" s="76"/>
      <c r="D24" s="76"/>
    </row>
    <row r="25" spans="1:4" ht="27" x14ac:dyDescent="0.2">
      <c r="A25" s="77" t="s">
        <v>533</v>
      </c>
      <c r="B25" s="77"/>
      <c r="C25" s="77"/>
      <c r="D25" s="77"/>
    </row>
    <row r="26" spans="1:4" ht="35" customHeight="1" x14ac:dyDescent="0.2">
      <c r="A26" s="39" t="s">
        <v>475</v>
      </c>
      <c r="B26" s="39"/>
      <c r="C26" s="39"/>
      <c r="D26" s="39"/>
    </row>
    <row r="27" spans="1:4" x14ac:dyDescent="0.2">
      <c r="A27" s="1"/>
    </row>
    <row r="28" spans="1:4" x14ac:dyDescent="0.2">
      <c r="A28" s="76" t="s">
        <v>488</v>
      </c>
      <c r="B28" s="76"/>
      <c r="C28" s="76"/>
      <c r="D28" s="76"/>
    </row>
    <row r="29" spans="1:4" ht="27" x14ac:dyDescent="0.2">
      <c r="A29" s="77" t="s">
        <v>534</v>
      </c>
      <c r="B29" s="77"/>
      <c r="C29" s="77"/>
      <c r="D29" s="77"/>
    </row>
    <row r="30" spans="1:4" ht="38" customHeight="1" x14ac:dyDescent="0.2">
      <c r="A30" s="39" t="s">
        <v>493</v>
      </c>
      <c r="B30" s="39"/>
      <c r="C30" s="39"/>
      <c r="D30" s="39"/>
    </row>
    <row r="32" spans="1:4" x14ac:dyDescent="0.2">
      <c r="A32" s="76" t="s">
        <v>489</v>
      </c>
      <c r="B32" s="76"/>
      <c r="C32" s="76"/>
      <c r="D32" s="76"/>
    </row>
    <row r="33" spans="1:5" ht="27" x14ac:dyDescent="0.2">
      <c r="A33" s="77" t="s">
        <v>373</v>
      </c>
      <c r="B33" s="77"/>
      <c r="C33" s="77"/>
      <c r="D33" s="77"/>
    </row>
    <row r="34" spans="1:5" ht="37" customHeight="1" x14ac:dyDescent="0.2">
      <c r="A34" s="39" t="s">
        <v>494</v>
      </c>
      <c r="B34" s="39"/>
      <c r="C34" s="39"/>
      <c r="D34" s="39"/>
    </row>
    <row r="35" spans="1:5" ht="19" x14ac:dyDescent="0.25">
      <c r="C35" s="35"/>
      <c r="D35" s="35"/>
      <c r="E35" s="35"/>
    </row>
    <row r="36" spans="1:5" ht="19" customHeight="1" x14ac:dyDescent="0.3">
      <c r="C36" s="3"/>
      <c r="D36" s="3"/>
      <c r="E36" s="37"/>
    </row>
    <row r="37" spans="1:5" x14ac:dyDescent="0.2">
      <c r="C37" s="1"/>
      <c r="D37" s="1"/>
      <c r="E37" s="38"/>
    </row>
  </sheetData>
  <mergeCells count="23">
    <mergeCell ref="A32:D32"/>
    <mergeCell ref="A34:D34"/>
    <mergeCell ref="A2:C2"/>
    <mergeCell ref="A9:D9"/>
    <mergeCell ref="A13:D13"/>
    <mergeCell ref="A17:D17"/>
    <mergeCell ref="A21:D21"/>
    <mergeCell ref="A25:D25"/>
    <mergeCell ref="A29:D29"/>
    <mergeCell ref="A33:D33"/>
    <mergeCell ref="A1:B1"/>
    <mergeCell ref="A8:D8"/>
    <mergeCell ref="A10:D10"/>
    <mergeCell ref="A12:D12"/>
    <mergeCell ref="A14:D14"/>
    <mergeCell ref="A16:D16"/>
    <mergeCell ref="A24:D24"/>
    <mergeCell ref="A26:D26"/>
    <mergeCell ref="A28:D28"/>
    <mergeCell ref="A30:D30"/>
    <mergeCell ref="A18:D18"/>
    <mergeCell ref="A20:D20"/>
    <mergeCell ref="A22:D22"/>
  </mergeCells>
  <hyperlinks>
    <hyperlink ref="A8:D8" location="'Monday Morning Payroll Week 1'!A1" display="Case Study 1" xr:uid="{88CC4F86-7FA3-4145-B1B3-F5C38C42965F}"/>
    <hyperlink ref="A12:D12" location="'The Overtime Spike Week 3'!A1" display="Case Study 2" xr:uid="{AB6EC92C-6D27-2144-98BE-A200C30D8D09}"/>
    <hyperlink ref="A16:D16" location="'Payroll Doesn''t Balance Week 5'!A1" display="Case Study 3" xr:uid="{90BFDE73-22C1-7D49-8065-4DADA09128FE}"/>
    <hyperlink ref="A20:D20" location="'Missing Meal Premiums Week 7'!A1" display="Case Study 4" xr:uid="{B533E52E-865D-C64F-849A-7798ABB5F27B}"/>
    <hyperlink ref="A24:D24" location="'The Bonus Question Week 9'!A1" display="Case Study 5" xr:uid="{0B133BFA-D4EB-4743-8B94-5A3492BA8F89}"/>
    <hyperlink ref="A28:D28" location="'Employee Says Pay Wrong Week 11'!A1" display="Case Study 6" xr:uid="{C16B01F1-C965-2144-83AC-DEEBA15B7C6A}"/>
    <hyperlink ref="A32:D32" location="'Executive Payroll Review'!A1" display="Case Study 7" xr:uid="{3FBED744-E845-644D-9FD7-DC26CCB50E4C}"/>
  </hyperlink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A41E0-7E05-FA44-8AEA-D44FA31A71DC}">
  <dimension ref="A1:O92"/>
  <sheetViews>
    <sheetView zoomScaleNormal="100" workbookViewId="0"/>
  </sheetViews>
  <sheetFormatPr baseColWidth="10" defaultRowHeight="16" x14ac:dyDescent="0.2"/>
  <cols>
    <col min="1" max="1" width="18" customWidth="1"/>
    <col min="2" max="2" width="21" bestFit="1" customWidth="1"/>
    <col min="3" max="3" width="16.6640625" bestFit="1" customWidth="1"/>
    <col min="4" max="4" width="27.33203125" bestFit="1" customWidth="1"/>
    <col min="5" max="5" width="14.83203125" bestFit="1" customWidth="1"/>
    <col min="7" max="7" width="15.1640625" customWidth="1"/>
    <col min="8" max="8" width="11" customWidth="1"/>
    <col min="9" max="9" width="13" customWidth="1"/>
    <col min="10" max="10" width="11.83203125" customWidth="1"/>
    <col min="11" max="11" width="71" bestFit="1" customWidth="1"/>
    <col min="12" max="12" width="10.1640625" customWidth="1"/>
  </cols>
  <sheetData>
    <row r="1" spans="1:15" ht="24" x14ac:dyDescent="0.3">
      <c r="A1" s="44" t="s">
        <v>188</v>
      </c>
      <c r="B1" s="36"/>
      <c r="C1" s="36"/>
      <c r="D1" s="36"/>
      <c r="E1" s="36"/>
      <c r="F1" s="36"/>
      <c r="G1" s="36"/>
      <c r="H1" s="36"/>
      <c r="I1" s="36"/>
      <c r="J1" s="36"/>
      <c r="K1" s="36"/>
    </row>
    <row r="2" spans="1:15" x14ac:dyDescent="0.2">
      <c r="A2" s="1" t="s">
        <v>37</v>
      </c>
    </row>
    <row r="3" spans="1:15" x14ac:dyDescent="0.2">
      <c r="A3" t="s">
        <v>38</v>
      </c>
      <c r="O3" s="19"/>
    </row>
    <row r="4" spans="1:15" ht="39" customHeight="1" x14ac:dyDescent="0.2">
      <c r="A4" s="47" t="s">
        <v>176</v>
      </c>
      <c r="B4" s="47"/>
      <c r="C4" s="47"/>
      <c r="D4" s="47"/>
      <c r="E4" s="47"/>
      <c r="F4" s="47"/>
    </row>
    <row r="5" spans="1:15" ht="38" customHeight="1" x14ac:dyDescent="0.2">
      <c r="A5" s="47" t="s">
        <v>177</v>
      </c>
      <c r="B5" s="47"/>
      <c r="C5" s="47"/>
      <c r="D5" s="47"/>
      <c r="E5" s="47"/>
      <c r="F5" s="47"/>
    </row>
    <row r="6" spans="1:15" x14ac:dyDescent="0.2">
      <c r="A6" s="48" t="s">
        <v>178</v>
      </c>
      <c r="B6" s="48"/>
      <c r="C6" s="48"/>
      <c r="D6" s="48"/>
      <c r="E6" s="48"/>
      <c r="F6" s="48"/>
    </row>
    <row r="7" spans="1:15" x14ac:dyDescent="0.2">
      <c r="A7" s="48" t="s">
        <v>39</v>
      </c>
      <c r="B7" s="48"/>
      <c r="C7" s="48"/>
      <c r="D7" s="48"/>
      <c r="E7" s="48"/>
      <c r="F7" s="48"/>
    </row>
    <row r="8" spans="1:15" x14ac:dyDescent="0.2">
      <c r="A8" t="s">
        <v>40</v>
      </c>
    </row>
    <row r="9" spans="1:15" x14ac:dyDescent="0.2">
      <c r="A9" t="s">
        <v>41</v>
      </c>
    </row>
    <row r="11" spans="1:15" ht="24" x14ac:dyDescent="0.3">
      <c r="A11" s="44" t="s">
        <v>82</v>
      </c>
      <c r="B11" s="36"/>
      <c r="C11" s="36"/>
      <c r="D11" s="36"/>
      <c r="E11" s="36"/>
      <c r="F11" s="36"/>
      <c r="G11" s="36"/>
      <c r="H11" s="36"/>
      <c r="I11" s="36"/>
      <c r="J11" s="36"/>
      <c r="K11" s="36"/>
    </row>
    <row r="12" spans="1:15" ht="24" x14ac:dyDescent="0.2">
      <c r="A12" s="116" t="s">
        <v>35</v>
      </c>
      <c r="B12" s="117"/>
      <c r="C12" s="117"/>
      <c r="D12" s="117"/>
      <c r="E12" s="117"/>
      <c r="F12" s="117"/>
      <c r="G12" s="117"/>
      <c r="H12" s="117"/>
      <c r="I12" s="117"/>
      <c r="J12" s="118"/>
    </row>
    <row r="13" spans="1:15" x14ac:dyDescent="0.2">
      <c r="A13" s="28" t="s">
        <v>36</v>
      </c>
      <c r="B13" s="80"/>
      <c r="C13" s="80"/>
      <c r="D13" s="80"/>
      <c r="E13" s="80"/>
      <c r="F13" s="80"/>
      <c r="G13" s="80"/>
      <c r="H13" s="80"/>
      <c r="I13" s="80"/>
      <c r="J13" s="29"/>
    </row>
    <row r="14" spans="1:15" x14ac:dyDescent="0.2">
      <c r="A14" s="59" t="s">
        <v>0</v>
      </c>
      <c r="B14" s="38" t="s">
        <v>1</v>
      </c>
      <c r="C14" s="38" t="s">
        <v>2</v>
      </c>
      <c r="D14" s="38" t="s">
        <v>3</v>
      </c>
      <c r="E14" s="38" t="s">
        <v>4</v>
      </c>
      <c r="F14" s="38" t="s">
        <v>5</v>
      </c>
      <c r="G14" s="38" t="s">
        <v>6</v>
      </c>
      <c r="H14" s="38" t="s">
        <v>7</v>
      </c>
      <c r="I14" s="38" t="s">
        <v>8</v>
      </c>
      <c r="J14" s="38" t="s">
        <v>9</v>
      </c>
    </row>
    <row r="15" spans="1:15" x14ac:dyDescent="0.2">
      <c r="A15" s="50">
        <v>10452</v>
      </c>
      <c r="B15" s="50" t="s">
        <v>10</v>
      </c>
      <c r="C15" s="50" t="s">
        <v>11</v>
      </c>
      <c r="D15" s="50" t="s">
        <v>12</v>
      </c>
      <c r="E15" s="50" t="s">
        <v>13</v>
      </c>
      <c r="F15" s="50" t="s">
        <v>14</v>
      </c>
      <c r="G15" s="50">
        <v>80</v>
      </c>
      <c r="H15" s="50">
        <v>6</v>
      </c>
      <c r="I15" s="64">
        <v>28.5</v>
      </c>
      <c r="J15" s="64">
        <v>2451</v>
      </c>
    </row>
    <row r="16" spans="1:15" x14ac:dyDescent="0.2">
      <c r="A16" s="50">
        <v>10781</v>
      </c>
      <c r="B16" s="50" t="s">
        <v>15</v>
      </c>
      <c r="C16" s="50" t="s">
        <v>16</v>
      </c>
      <c r="D16" s="50" t="s">
        <v>17</v>
      </c>
      <c r="E16" s="50" t="s">
        <v>13</v>
      </c>
      <c r="F16" s="50" t="s">
        <v>14</v>
      </c>
      <c r="G16" s="50">
        <v>80</v>
      </c>
      <c r="H16" s="50">
        <v>0</v>
      </c>
      <c r="I16" s="64">
        <v>42</v>
      </c>
      <c r="J16" s="64">
        <v>3360</v>
      </c>
    </row>
    <row r="17" spans="1:10" x14ac:dyDescent="0.2">
      <c r="A17" s="50">
        <v>10934</v>
      </c>
      <c r="B17" s="50" t="s">
        <v>18</v>
      </c>
      <c r="C17" s="50" t="s">
        <v>11</v>
      </c>
      <c r="D17" s="50" t="s">
        <v>12</v>
      </c>
      <c r="E17" s="50" t="s">
        <v>13</v>
      </c>
      <c r="F17" s="50" t="s">
        <v>14</v>
      </c>
      <c r="G17" s="50">
        <v>80</v>
      </c>
      <c r="H17" s="50">
        <v>32</v>
      </c>
      <c r="I17" s="64">
        <v>31</v>
      </c>
      <c r="J17" s="64">
        <v>3224</v>
      </c>
    </row>
    <row r="18" spans="1:10" x14ac:dyDescent="0.2">
      <c r="A18" s="50">
        <v>11290</v>
      </c>
      <c r="B18" s="50" t="s">
        <v>19</v>
      </c>
      <c r="C18" s="50" t="s">
        <v>20</v>
      </c>
      <c r="D18" s="50" t="s">
        <v>21</v>
      </c>
      <c r="E18" s="50" t="s">
        <v>13</v>
      </c>
      <c r="F18" s="50" t="s">
        <v>22</v>
      </c>
      <c r="G18" s="50" t="s">
        <v>23</v>
      </c>
      <c r="H18" s="50" t="s">
        <v>23</v>
      </c>
      <c r="I18" s="50" t="s">
        <v>23</v>
      </c>
      <c r="J18" s="64">
        <v>4800</v>
      </c>
    </row>
    <row r="19" spans="1:10" x14ac:dyDescent="0.2">
      <c r="A19" s="50">
        <v>11345</v>
      </c>
      <c r="B19" s="50" t="s">
        <v>24</v>
      </c>
      <c r="C19" s="50" t="s">
        <v>11</v>
      </c>
      <c r="D19" s="50" t="s">
        <v>12</v>
      </c>
      <c r="E19" s="50" t="s">
        <v>13</v>
      </c>
      <c r="F19" s="50" t="s">
        <v>14</v>
      </c>
      <c r="G19" s="50">
        <v>76</v>
      </c>
      <c r="H19" s="50">
        <v>0</v>
      </c>
      <c r="I19" s="64">
        <v>29</v>
      </c>
      <c r="J19" s="64">
        <v>2204</v>
      </c>
    </row>
    <row r="20" spans="1:10" x14ac:dyDescent="0.2">
      <c r="A20" s="50">
        <v>11567</v>
      </c>
      <c r="B20" s="50" t="s">
        <v>25</v>
      </c>
      <c r="C20" s="50" t="s">
        <v>26</v>
      </c>
      <c r="D20" s="50" t="s">
        <v>12</v>
      </c>
      <c r="E20" s="50" t="s">
        <v>13</v>
      </c>
      <c r="F20" s="50" t="s">
        <v>22</v>
      </c>
      <c r="G20" s="50" t="s">
        <v>23</v>
      </c>
      <c r="H20" s="50" t="s">
        <v>23</v>
      </c>
      <c r="I20" s="50" t="s">
        <v>23</v>
      </c>
      <c r="J20" s="64">
        <v>5200</v>
      </c>
    </row>
    <row r="21" spans="1:10" x14ac:dyDescent="0.2">
      <c r="A21" s="50">
        <v>11602</v>
      </c>
      <c r="B21" s="50" t="s">
        <v>27</v>
      </c>
      <c r="C21" s="50" t="s">
        <v>28</v>
      </c>
      <c r="D21" s="50" t="s">
        <v>29</v>
      </c>
      <c r="E21" s="50" t="s">
        <v>13</v>
      </c>
      <c r="F21" s="50" t="s">
        <v>14</v>
      </c>
      <c r="G21" s="50">
        <v>80</v>
      </c>
      <c r="H21" s="50">
        <v>18</v>
      </c>
      <c r="I21" s="64">
        <v>35</v>
      </c>
      <c r="J21" s="64">
        <v>3972.5</v>
      </c>
    </row>
    <row r="22" spans="1:10" x14ac:dyDescent="0.2">
      <c r="A22" s="50">
        <v>11789</v>
      </c>
      <c r="B22" s="50" t="s">
        <v>30</v>
      </c>
      <c r="C22" s="50" t="s">
        <v>16</v>
      </c>
      <c r="D22" s="50" t="s">
        <v>17</v>
      </c>
      <c r="E22" s="50" t="s">
        <v>13</v>
      </c>
      <c r="F22" s="50" t="s">
        <v>14</v>
      </c>
      <c r="G22" s="50">
        <v>80</v>
      </c>
      <c r="H22" s="50">
        <v>0</v>
      </c>
      <c r="I22" s="64">
        <v>45</v>
      </c>
      <c r="J22" s="64">
        <v>3600</v>
      </c>
    </row>
    <row r="23" spans="1:10" x14ac:dyDescent="0.2">
      <c r="A23" s="50">
        <v>11876</v>
      </c>
      <c r="B23" s="50" t="s">
        <v>31</v>
      </c>
      <c r="C23" s="50" t="s">
        <v>11</v>
      </c>
      <c r="D23" s="50" t="s">
        <v>12</v>
      </c>
      <c r="E23" s="50" t="s">
        <v>32</v>
      </c>
      <c r="F23" s="50" t="s">
        <v>14</v>
      </c>
      <c r="G23" s="50">
        <v>0</v>
      </c>
      <c r="H23" s="50">
        <v>0</v>
      </c>
      <c r="I23" s="64">
        <v>30</v>
      </c>
      <c r="J23" s="64">
        <v>2400</v>
      </c>
    </row>
    <row r="24" spans="1:10" x14ac:dyDescent="0.2">
      <c r="A24" s="50">
        <v>11901</v>
      </c>
      <c r="B24" s="50" t="s">
        <v>33</v>
      </c>
      <c r="C24" s="50" t="s">
        <v>34</v>
      </c>
      <c r="D24" s="50" t="s">
        <v>12</v>
      </c>
      <c r="E24" s="50" t="s">
        <v>13</v>
      </c>
      <c r="F24" s="50" t="s">
        <v>14</v>
      </c>
      <c r="G24" s="50">
        <v>80</v>
      </c>
      <c r="H24" s="50">
        <v>4</v>
      </c>
      <c r="I24" s="64">
        <v>50</v>
      </c>
      <c r="J24" s="64">
        <v>4200</v>
      </c>
    </row>
    <row r="26" spans="1:10" ht="24" x14ac:dyDescent="0.3">
      <c r="A26" s="115" t="s">
        <v>43</v>
      </c>
      <c r="B26" s="86"/>
      <c r="C26" s="86"/>
    </row>
    <row r="27" spans="1:10" ht="19" x14ac:dyDescent="0.25">
      <c r="A27" s="91" t="s">
        <v>44</v>
      </c>
      <c r="B27" s="86"/>
      <c r="C27" s="86"/>
    </row>
    <row r="28" spans="1:10" x14ac:dyDescent="0.2">
      <c r="A28" s="86" t="s">
        <v>45</v>
      </c>
      <c r="B28" s="86"/>
      <c r="C28" s="86"/>
    </row>
    <row r="29" spans="1:10" x14ac:dyDescent="0.2">
      <c r="A29" s="86"/>
      <c r="B29" s="86"/>
      <c r="C29" s="86"/>
    </row>
    <row r="30" spans="1:10" ht="19" x14ac:dyDescent="0.25">
      <c r="A30" s="91" t="s">
        <v>46</v>
      </c>
      <c r="B30" s="86"/>
      <c r="C30" s="86"/>
    </row>
    <row r="31" spans="1:10" x14ac:dyDescent="0.2">
      <c r="A31" s="86" t="s">
        <v>47</v>
      </c>
      <c r="B31" s="86"/>
      <c r="C31" s="86"/>
    </row>
    <row r="32" spans="1:10" x14ac:dyDescent="0.2">
      <c r="A32" s="86"/>
      <c r="B32" s="86"/>
      <c r="C32" s="86"/>
    </row>
    <row r="33" spans="1:11" ht="19" x14ac:dyDescent="0.25">
      <c r="A33" s="91" t="s">
        <v>48</v>
      </c>
      <c r="B33" s="86"/>
      <c r="C33" s="86"/>
    </row>
    <row r="34" spans="1:11" x14ac:dyDescent="0.2">
      <c r="A34" s="86" t="s">
        <v>49</v>
      </c>
      <c r="B34" s="86"/>
      <c r="C34" s="86"/>
    </row>
    <row r="35" spans="1:11" x14ac:dyDescent="0.2">
      <c r="A35" s="86" t="s">
        <v>50</v>
      </c>
      <c r="B35" s="86"/>
      <c r="C35" s="86"/>
    </row>
    <row r="36" spans="1:11" x14ac:dyDescent="0.2">
      <c r="A36" s="86"/>
      <c r="B36" s="86"/>
      <c r="C36" s="86"/>
    </row>
    <row r="37" spans="1:11" ht="19" x14ac:dyDescent="0.25">
      <c r="A37" s="91" t="s">
        <v>51</v>
      </c>
      <c r="B37" s="86"/>
      <c r="C37" s="86"/>
    </row>
    <row r="38" spans="1:11" x14ac:dyDescent="0.2">
      <c r="A38" s="86" t="s">
        <v>47</v>
      </c>
      <c r="B38" s="86"/>
      <c r="C38" s="86"/>
    </row>
    <row r="41" spans="1:11" ht="24" x14ac:dyDescent="0.3">
      <c r="A41" s="44" t="s">
        <v>83</v>
      </c>
      <c r="B41" s="36"/>
      <c r="C41" s="36"/>
      <c r="D41" s="36"/>
      <c r="E41" s="36"/>
      <c r="F41" s="36"/>
      <c r="G41" s="36"/>
      <c r="H41" s="36"/>
      <c r="I41" s="36"/>
      <c r="J41" s="36"/>
      <c r="K41" s="36"/>
    </row>
    <row r="43" spans="1:11" ht="19" x14ac:dyDescent="0.25">
      <c r="A43" s="81" t="s">
        <v>56</v>
      </c>
      <c r="B43" s="82"/>
      <c r="C43" s="82"/>
      <c r="D43" s="82"/>
      <c r="E43" s="82"/>
    </row>
    <row r="44" spans="1:11" x14ac:dyDescent="0.2">
      <c r="A44" s="12" t="s">
        <v>1</v>
      </c>
      <c r="B44" s="38" t="s">
        <v>52</v>
      </c>
      <c r="C44" s="38" t="s">
        <v>53</v>
      </c>
      <c r="D44" s="38" t="s">
        <v>54</v>
      </c>
      <c r="E44" s="38" t="s">
        <v>55</v>
      </c>
      <c r="F44" s="50"/>
    </row>
    <row r="45" spans="1:11" ht="17" x14ac:dyDescent="0.2">
      <c r="A45" s="50" t="s">
        <v>10</v>
      </c>
      <c r="B45" s="53" t="s">
        <v>60</v>
      </c>
      <c r="C45" s="53" t="s">
        <v>57</v>
      </c>
      <c r="D45" s="53" t="s">
        <v>58</v>
      </c>
      <c r="E45" s="50" t="s">
        <v>62</v>
      </c>
    </row>
    <row r="46" spans="1:11" ht="17" x14ac:dyDescent="0.2">
      <c r="A46" s="50" t="s">
        <v>15</v>
      </c>
      <c r="B46" s="53" t="s">
        <v>67</v>
      </c>
      <c r="C46" s="53"/>
      <c r="D46" s="53"/>
      <c r="E46" s="50"/>
    </row>
    <row r="47" spans="1:11" ht="17" x14ac:dyDescent="0.2">
      <c r="A47" s="50" t="s">
        <v>18</v>
      </c>
      <c r="B47" s="53" t="s">
        <v>60</v>
      </c>
      <c r="C47" s="53" t="s">
        <v>57</v>
      </c>
      <c r="D47" s="53" t="s">
        <v>58</v>
      </c>
      <c r="E47" s="50" t="s">
        <v>62</v>
      </c>
    </row>
    <row r="48" spans="1:11" ht="17" x14ac:dyDescent="0.2">
      <c r="A48" s="50" t="s">
        <v>19</v>
      </c>
      <c r="B48" s="53" t="s">
        <v>67</v>
      </c>
      <c r="C48" s="53"/>
      <c r="D48" s="53"/>
      <c r="E48" s="50"/>
    </row>
    <row r="49" spans="1:11" ht="34" x14ac:dyDescent="0.2">
      <c r="A49" s="50" t="s">
        <v>24</v>
      </c>
      <c r="B49" s="53" t="s">
        <v>63</v>
      </c>
      <c r="C49" s="53" t="s">
        <v>64</v>
      </c>
      <c r="D49" s="53" t="s">
        <v>66</v>
      </c>
      <c r="E49" s="50" t="s">
        <v>65</v>
      </c>
    </row>
    <row r="50" spans="1:11" ht="17" x14ac:dyDescent="0.2">
      <c r="A50" s="50" t="s">
        <v>25</v>
      </c>
      <c r="B50" s="53" t="s">
        <v>67</v>
      </c>
      <c r="C50" s="53"/>
      <c r="D50" s="53"/>
      <c r="E50" s="50"/>
    </row>
    <row r="51" spans="1:11" ht="17" x14ac:dyDescent="0.2">
      <c r="A51" s="50" t="s">
        <v>27</v>
      </c>
      <c r="B51" s="53" t="s">
        <v>59</v>
      </c>
      <c r="C51" s="53" t="s">
        <v>57</v>
      </c>
      <c r="D51" s="53" t="s">
        <v>58</v>
      </c>
      <c r="E51" s="50" t="s">
        <v>62</v>
      </c>
    </row>
    <row r="52" spans="1:11" ht="17" x14ac:dyDescent="0.2">
      <c r="A52" s="50" t="s">
        <v>30</v>
      </c>
      <c r="B52" s="53" t="s">
        <v>67</v>
      </c>
      <c r="C52" s="53"/>
      <c r="D52" s="53"/>
      <c r="E52" s="50"/>
    </row>
    <row r="53" spans="1:11" ht="68" x14ac:dyDescent="0.2">
      <c r="A53" s="50" t="s">
        <v>31</v>
      </c>
      <c r="B53" s="53" t="s">
        <v>93</v>
      </c>
      <c r="C53" s="53" t="s">
        <v>94</v>
      </c>
      <c r="D53" s="53" t="s">
        <v>495</v>
      </c>
      <c r="E53" s="50" t="s">
        <v>447</v>
      </c>
    </row>
    <row r="54" spans="1:11" ht="17" x14ac:dyDescent="0.2">
      <c r="A54" s="50" t="s">
        <v>33</v>
      </c>
      <c r="B54" s="53" t="s">
        <v>60</v>
      </c>
      <c r="C54" s="53" t="s">
        <v>57</v>
      </c>
      <c r="D54" s="53" t="s">
        <v>58</v>
      </c>
      <c r="E54" s="50" t="s">
        <v>62</v>
      </c>
    </row>
    <row r="55" spans="1:11" x14ac:dyDescent="0.2">
      <c r="A55" s="50"/>
      <c r="B55" s="50"/>
      <c r="C55" s="50"/>
      <c r="D55" s="50"/>
      <c r="E55" s="50"/>
    </row>
    <row r="57" spans="1:11" ht="24" x14ac:dyDescent="0.3">
      <c r="A57" s="44" t="s">
        <v>84</v>
      </c>
      <c r="B57" s="36"/>
      <c r="C57" s="36"/>
      <c r="D57" s="36"/>
      <c r="E57" s="36"/>
      <c r="F57" s="36"/>
      <c r="G57" s="36"/>
      <c r="H57" s="36"/>
      <c r="I57" s="36"/>
      <c r="J57" s="36"/>
      <c r="K57" s="36"/>
    </row>
    <row r="59" spans="1:11" ht="24" x14ac:dyDescent="0.2">
      <c r="A59" s="71" t="s">
        <v>72</v>
      </c>
      <c r="B59" s="71"/>
      <c r="C59" s="71"/>
      <c r="D59" s="71"/>
    </row>
    <row r="60" spans="1:11" x14ac:dyDescent="0.2">
      <c r="A60" s="17" t="s">
        <v>306</v>
      </c>
      <c r="B60" s="17"/>
    </row>
    <row r="61" spans="1:11" x14ac:dyDescent="0.2">
      <c r="A61" s="17" t="s">
        <v>477</v>
      </c>
      <c r="B61" s="17"/>
    </row>
    <row r="63" spans="1:11" ht="24" x14ac:dyDescent="0.3">
      <c r="A63" s="41" t="s">
        <v>74</v>
      </c>
    </row>
    <row r="64" spans="1:11" ht="19" x14ac:dyDescent="0.25">
      <c r="A64" s="42" t="s">
        <v>80</v>
      </c>
    </row>
    <row r="65" spans="1:5" ht="81" customHeight="1" x14ac:dyDescent="0.2">
      <c r="A65" s="27" t="s">
        <v>85</v>
      </c>
      <c r="B65" s="27"/>
      <c r="C65" s="27"/>
      <c r="D65" s="27"/>
      <c r="E65" s="13"/>
    </row>
    <row r="67" spans="1:5" ht="19" x14ac:dyDescent="0.25">
      <c r="A67" s="43" t="s">
        <v>75</v>
      </c>
    </row>
    <row r="69" spans="1:5" x14ac:dyDescent="0.2">
      <c r="A69" s="1" t="s">
        <v>76</v>
      </c>
    </row>
    <row r="70" spans="1:5" ht="92" customHeight="1" x14ac:dyDescent="0.2">
      <c r="A70" s="27" t="s">
        <v>496</v>
      </c>
      <c r="B70" s="27"/>
      <c r="C70" s="27"/>
      <c r="D70" s="27"/>
      <c r="E70" s="13"/>
    </row>
    <row r="71" spans="1:5" x14ac:dyDescent="0.2">
      <c r="A71" s="1" t="s">
        <v>77</v>
      </c>
    </row>
    <row r="72" spans="1:5" x14ac:dyDescent="0.2">
      <c r="A72" t="s">
        <v>86</v>
      </c>
    </row>
    <row r="74" spans="1:5" x14ac:dyDescent="0.2">
      <c r="A74" s="17" t="s">
        <v>78</v>
      </c>
    </row>
    <row r="75" spans="1:5" x14ac:dyDescent="0.2">
      <c r="A75" t="s">
        <v>87</v>
      </c>
    </row>
    <row r="77" spans="1:5" x14ac:dyDescent="0.2">
      <c r="A77" s="1" t="s">
        <v>18</v>
      </c>
    </row>
    <row r="78" spans="1:5" ht="65" customHeight="1" x14ac:dyDescent="0.2">
      <c r="A78" s="27" t="s">
        <v>88</v>
      </c>
      <c r="B78" s="27"/>
      <c r="C78" s="27"/>
      <c r="D78" s="27"/>
      <c r="E78" s="13"/>
    </row>
    <row r="79" spans="1:5" x14ac:dyDescent="0.2">
      <c r="A79" s="1" t="s">
        <v>27</v>
      </c>
    </row>
    <row r="80" spans="1:5" x14ac:dyDescent="0.2">
      <c r="A80" t="s">
        <v>89</v>
      </c>
    </row>
    <row r="81" spans="1:5" x14ac:dyDescent="0.2">
      <c r="A81" s="1" t="s">
        <v>10</v>
      </c>
    </row>
    <row r="82" spans="1:5" x14ac:dyDescent="0.2">
      <c r="A82" t="s">
        <v>90</v>
      </c>
    </row>
    <row r="83" spans="1:5" x14ac:dyDescent="0.2">
      <c r="A83" s="1" t="s">
        <v>33</v>
      </c>
    </row>
    <row r="84" spans="1:5" x14ac:dyDescent="0.2">
      <c r="A84" t="s">
        <v>91</v>
      </c>
    </row>
    <row r="86" spans="1:5" x14ac:dyDescent="0.2">
      <c r="A86" s="17" t="s">
        <v>79</v>
      </c>
    </row>
    <row r="88" spans="1:5" x14ac:dyDescent="0.2">
      <c r="A88" s="1" t="s">
        <v>24</v>
      </c>
    </row>
    <row r="89" spans="1:5" ht="63" customHeight="1" x14ac:dyDescent="0.2">
      <c r="A89" s="27" t="s">
        <v>92</v>
      </c>
      <c r="B89" s="27"/>
      <c r="C89" s="27"/>
      <c r="D89" s="27"/>
    </row>
    <row r="91" spans="1:5" ht="24" x14ac:dyDescent="0.2">
      <c r="A91" s="71" t="s">
        <v>81</v>
      </c>
      <c r="B91" s="71"/>
      <c r="C91" s="71"/>
      <c r="D91" s="71"/>
    </row>
    <row r="92" spans="1:5" ht="98" customHeight="1" x14ac:dyDescent="0.2">
      <c r="A92" s="27" t="s">
        <v>497</v>
      </c>
      <c r="B92" s="27"/>
      <c r="C92" s="27"/>
      <c r="D92" s="27"/>
      <c r="E92" s="13"/>
    </row>
  </sheetData>
  <mergeCells count="11">
    <mergeCell ref="A78:D78"/>
    <mergeCell ref="A89:D89"/>
    <mergeCell ref="A92:D92"/>
    <mergeCell ref="A91:D91"/>
    <mergeCell ref="A59:D59"/>
    <mergeCell ref="A4:F4"/>
    <mergeCell ref="A5:F5"/>
    <mergeCell ref="A12:J12"/>
    <mergeCell ref="A13:J13"/>
    <mergeCell ref="A65:D65"/>
    <mergeCell ref="A70:D70"/>
  </mergeCells>
  <conditionalFormatting sqref="E45:E54">
    <cfRule type="containsText" dxfId="60" priority="1" operator="containsText" text="Low">
      <formula>NOT(ISERROR(SEARCH("Low",E45)))</formula>
    </cfRule>
    <cfRule type="containsText" dxfId="59" priority="2" operator="containsText" text="Medium">
      <formula>NOT(ISERROR(SEARCH("Medium",E45)))</formula>
    </cfRule>
    <cfRule type="containsText" dxfId="58" priority="3" operator="containsText" text="High">
      <formula>NOT(ISERROR(SEARCH("High",E45)))</formula>
    </cfRule>
  </conditionalFormatting>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3C5A9-C48B-6C43-B499-30F66DD56AB7}">
  <dimension ref="A1:Y88"/>
  <sheetViews>
    <sheetView zoomScaleNormal="100" workbookViewId="0"/>
  </sheetViews>
  <sheetFormatPr baseColWidth="10" defaultRowHeight="16" x14ac:dyDescent="0.2"/>
  <cols>
    <col min="1" max="1" width="53.33203125" bestFit="1" customWidth="1"/>
    <col min="2" max="2" width="17" bestFit="1" customWidth="1"/>
    <col min="3" max="3" width="16.33203125" bestFit="1" customWidth="1"/>
    <col min="4" max="4" width="11.33203125" bestFit="1" customWidth="1"/>
    <col min="5" max="5" width="17.6640625" bestFit="1" customWidth="1"/>
    <col min="6" max="6" width="42" bestFit="1" customWidth="1"/>
    <col min="7" max="7" width="15.33203125" bestFit="1" customWidth="1"/>
    <col min="8" max="8" width="15.6640625" bestFit="1" customWidth="1"/>
    <col min="9" max="9" width="19" bestFit="1" customWidth="1"/>
    <col min="10" max="10" width="27.5" bestFit="1" customWidth="1"/>
    <col min="11" max="11" width="66" customWidth="1"/>
    <col min="12" max="12" width="10.33203125" customWidth="1"/>
  </cols>
  <sheetData>
    <row r="1" spans="1:11" ht="24" x14ac:dyDescent="0.3">
      <c r="A1" s="44" t="s">
        <v>188</v>
      </c>
      <c r="B1" s="36"/>
      <c r="C1" s="36"/>
      <c r="D1" s="36"/>
      <c r="E1" s="36"/>
      <c r="F1" s="36"/>
      <c r="G1" s="36"/>
      <c r="H1" s="36"/>
      <c r="I1" s="36"/>
      <c r="J1" s="36"/>
      <c r="K1" s="36"/>
    </row>
    <row r="2" spans="1:11" x14ac:dyDescent="0.2">
      <c r="A2" s="17" t="s">
        <v>170</v>
      </c>
      <c r="B2" s="18"/>
    </row>
    <row r="3" spans="1:11" x14ac:dyDescent="0.2">
      <c r="A3" s="1" t="s">
        <v>37</v>
      </c>
    </row>
    <row r="4" spans="1:11" x14ac:dyDescent="0.2">
      <c r="A4" t="s">
        <v>38</v>
      </c>
    </row>
    <row r="5" spans="1:11" x14ac:dyDescent="0.2">
      <c r="A5" t="s">
        <v>171</v>
      </c>
    </row>
    <row r="6" spans="1:11" ht="32" customHeight="1" x14ac:dyDescent="0.2">
      <c r="A6" s="47" t="s">
        <v>172</v>
      </c>
      <c r="B6" s="47"/>
      <c r="C6" s="47"/>
    </row>
    <row r="7" spans="1:11" ht="51" customHeight="1" x14ac:dyDescent="0.2">
      <c r="A7" s="47" t="s">
        <v>173</v>
      </c>
      <c r="B7" s="47"/>
      <c r="C7" s="47"/>
    </row>
    <row r="8" spans="1:11" ht="53" customHeight="1" x14ac:dyDescent="0.2">
      <c r="A8" s="47" t="s">
        <v>174</v>
      </c>
      <c r="B8" s="47"/>
      <c r="C8" s="47"/>
    </row>
    <row r="9" spans="1:11" x14ac:dyDescent="0.2">
      <c r="A9" t="s">
        <v>175</v>
      </c>
    </row>
    <row r="10" spans="1:11" x14ac:dyDescent="0.2">
      <c r="A10" t="s">
        <v>40</v>
      </c>
    </row>
    <row r="11" spans="1:11" x14ac:dyDescent="0.2">
      <c r="A11" t="s">
        <v>41</v>
      </c>
    </row>
    <row r="14" spans="1:11" ht="24" x14ac:dyDescent="0.3">
      <c r="A14" s="44" t="s">
        <v>82</v>
      </c>
      <c r="B14" s="36"/>
      <c r="C14" s="36"/>
      <c r="D14" s="36"/>
      <c r="E14" s="36"/>
      <c r="F14" s="36"/>
      <c r="G14" s="36"/>
      <c r="H14" s="36"/>
      <c r="I14" s="36"/>
      <c r="J14" s="36"/>
      <c r="K14" s="36"/>
    </row>
    <row r="15" spans="1:11" ht="24" x14ac:dyDescent="0.3">
      <c r="A15" s="84" t="s">
        <v>109</v>
      </c>
      <c r="B15" s="83"/>
      <c r="C15" s="83"/>
      <c r="D15" s="83"/>
      <c r="E15" s="83"/>
      <c r="F15" s="83"/>
    </row>
    <row r="16" spans="1:11" x14ac:dyDescent="0.2">
      <c r="A16" s="38" t="s">
        <v>2</v>
      </c>
      <c r="B16" s="38" t="s">
        <v>110</v>
      </c>
      <c r="C16" s="38" t="s">
        <v>111</v>
      </c>
      <c r="D16" s="38" t="s">
        <v>112</v>
      </c>
      <c r="E16" s="38" t="s">
        <v>113</v>
      </c>
      <c r="F16" s="38" t="s">
        <v>114</v>
      </c>
    </row>
    <row r="17" spans="1:9" x14ac:dyDescent="0.2">
      <c r="A17" s="50" t="s">
        <v>11</v>
      </c>
      <c r="B17" s="50">
        <v>210</v>
      </c>
      <c r="C17" s="50">
        <v>348</v>
      </c>
      <c r="D17" s="50">
        <v>138</v>
      </c>
      <c r="E17" s="52">
        <v>10240</v>
      </c>
      <c r="F17" s="52">
        <v>18470</v>
      </c>
    </row>
    <row r="18" spans="1:9" x14ac:dyDescent="0.2">
      <c r="A18" s="50" t="s">
        <v>16</v>
      </c>
      <c r="B18" s="50">
        <v>62</v>
      </c>
      <c r="C18" s="50">
        <v>118</v>
      </c>
      <c r="D18" s="50">
        <v>56</v>
      </c>
      <c r="E18" s="52">
        <v>5120</v>
      </c>
      <c r="F18" s="52">
        <v>9840</v>
      </c>
    </row>
    <row r="19" spans="1:9" x14ac:dyDescent="0.2">
      <c r="A19" s="50" t="s">
        <v>20</v>
      </c>
      <c r="B19" s="50">
        <v>18</v>
      </c>
      <c r="C19" s="50">
        <v>16</v>
      </c>
      <c r="D19" s="50">
        <v>-2</v>
      </c>
      <c r="E19" s="52">
        <v>1020</v>
      </c>
      <c r="F19" s="52">
        <v>910</v>
      </c>
    </row>
    <row r="20" spans="1:9" x14ac:dyDescent="0.2">
      <c r="A20" s="50" t="s">
        <v>28</v>
      </c>
      <c r="B20" s="50">
        <v>42</v>
      </c>
      <c r="C20" s="50">
        <v>44</v>
      </c>
      <c r="D20" s="50">
        <v>2</v>
      </c>
      <c r="E20" s="52">
        <v>2180</v>
      </c>
      <c r="F20" s="52">
        <v>2330</v>
      </c>
    </row>
    <row r="21" spans="1:9" x14ac:dyDescent="0.2">
      <c r="A21" s="50" t="s">
        <v>34</v>
      </c>
      <c r="B21" s="50">
        <v>6</v>
      </c>
      <c r="C21" s="50">
        <v>8</v>
      </c>
      <c r="D21" s="50">
        <v>2</v>
      </c>
      <c r="E21" s="52">
        <v>380</v>
      </c>
      <c r="F21" s="52">
        <v>520</v>
      </c>
    </row>
    <row r="22" spans="1:9" x14ac:dyDescent="0.2">
      <c r="A22" s="50" t="s">
        <v>115</v>
      </c>
      <c r="B22" s="50">
        <v>0</v>
      </c>
      <c r="C22" s="50">
        <v>0</v>
      </c>
      <c r="D22" s="50">
        <v>0</v>
      </c>
      <c r="E22" s="52">
        <v>0</v>
      </c>
      <c r="F22" s="52">
        <v>0</v>
      </c>
    </row>
    <row r="23" spans="1:9" x14ac:dyDescent="0.2">
      <c r="A23" s="50" t="s">
        <v>116</v>
      </c>
      <c r="B23" s="50">
        <v>14</v>
      </c>
      <c r="C23" s="50">
        <v>18</v>
      </c>
      <c r="D23" s="50">
        <v>4</v>
      </c>
      <c r="E23" s="52">
        <v>920</v>
      </c>
      <c r="F23" s="52">
        <v>1210</v>
      </c>
    </row>
    <row r="24" spans="1:9" x14ac:dyDescent="0.2">
      <c r="A24" s="4"/>
      <c r="E24" s="14"/>
      <c r="F24" s="14"/>
    </row>
    <row r="25" spans="1:9" ht="22" x14ac:dyDescent="0.3">
      <c r="A25" s="70" t="s">
        <v>103</v>
      </c>
      <c r="B25" s="50"/>
      <c r="C25" s="50"/>
    </row>
    <row r="26" spans="1:9" ht="17" x14ac:dyDescent="0.2">
      <c r="A26" s="85" t="s">
        <v>104</v>
      </c>
      <c r="B26" s="50"/>
      <c r="C26" s="50"/>
    </row>
    <row r="27" spans="1:9" ht="17" x14ac:dyDescent="0.2">
      <c r="A27" s="85" t="s">
        <v>105</v>
      </c>
      <c r="B27" s="50"/>
      <c r="C27" s="50"/>
    </row>
    <row r="28" spans="1:9" ht="34" x14ac:dyDescent="0.2">
      <c r="A28" s="85" t="s">
        <v>106</v>
      </c>
      <c r="B28" s="50"/>
      <c r="C28" s="50"/>
    </row>
    <row r="29" spans="1:9" ht="34" x14ac:dyDescent="0.2">
      <c r="A29" s="85" t="s">
        <v>107</v>
      </c>
      <c r="B29" s="50"/>
      <c r="C29" s="50"/>
    </row>
    <row r="30" spans="1:9" ht="34" x14ac:dyDescent="0.2">
      <c r="A30" s="85" t="s">
        <v>108</v>
      </c>
      <c r="B30" s="50"/>
      <c r="C30" s="50"/>
      <c r="G30" s="14"/>
    </row>
    <row r="31" spans="1:9" x14ac:dyDescent="0.2">
      <c r="I31" s="14"/>
    </row>
    <row r="32" spans="1:9" x14ac:dyDescent="0.2">
      <c r="I32" s="14"/>
    </row>
    <row r="33" spans="1:9" ht="22" x14ac:dyDescent="0.3">
      <c r="A33" s="70" t="s">
        <v>95</v>
      </c>
      <c r="B33" s="50"/>
      <c r="I33" s="14"/>
    </row>
    <row r="34" spans="1:9" x14ac:dyDescent="0.2">
      <c r="A34" s="86" t="s">
        <v>96</v>
      </c>
      <c r="B34" s="86"/>
    </row>
    <row r="35" spans="1:9" x14ac:dyDescent="0.2">
      <c r="A35" s="87" t="s">
        <v>97</v>
      </c>
      <c r="B35" s="87" t="s">
        <v>98</v>
      </c>
    </row>
    <row r="36" spans="1:9" x14ac:dyDescent="0.2">
      <c r="A36" s="86" t="s">
        <v>99</v>
      </c>
      <c r="B36" s="88">
        <v>19860</v>
      </c>
    </row>
    <row r="37" spans="1:9" x14ac:dyDescent="0.2">
      <c r="A37" s="86" t="s">
        <v>100</v>
      </c>
      <c r="B37" s="88">
        <v>33280</v>
      </c>
    </row>
    <row r="38" spans="1:9" x14ac:dyDescent="0.2">
      <c r="A38" s="86"/>
      <c r="B38" s="86"/>
    </row>
    <row r="39" spans="1:9" x14ac:dyDescent="0.2">
      <c r="A39" s="86" t="s">
        <v>101</v>
      </c>
      <c r="B39" s="86"/>
    </row>
    <row r="40" spans="1:9" x14ac:dyDescent="0.2">
      <c r="A40" s="89">
        <f>B37-B36</f>
        <v>13420</v>
      </c>
      <c r="B40" s="90">
        <f>B37/B36-1</f>
        <v>0.67573011077542811</v>
      </c>
    </row>
    <row r="41" spans="1:9" x14ac:dyDescent="0.2">
      <c r="A41" s="101" t="s">
        <v>102</v>
      </c>
      <c r="B41" s="101"/>
    </row>
    <row r="44" spans="1:9" ht="22" x14ac:dyDescent="0.3">
      <c r="A44" s="70" t="s">
        <v>117</v>
      </c>
    </row>
    <row r="45" spans="1:9" ht="19" x14ac:dyDescent="0.25">
      <c r="A45" s="91" t="s">
        <v>11</v>
      </c>
    </row>
    <row r="46" spans="1:9" x14ac:dyDescent="0.2">
      <c r="A46" s="86" t="s">
        <v>118</v>
      </c>
    </row>
    <row r="47" spans="1:9" x14ac:dyDescent="0.2">
      <c r="A47" s="86" t="s">
        <v>119</v>
      </c>
    </row>
    <row r="48" spans="1:9" x14ac:dyDescent="0.2">
      <c r="A48" s="86" t="s">
        <v>120</v>
      </c>
    </row>
    <row r="49" spans="1:18" ht="19" x14ac:dyDescent="0.25">
      <c r="A49" s="91" t="s">
        <v>16</v>
      </c>
    </row>
    <row r="50" spans="1:18" x14ac:dyDescent="0.2">
      <c r="A50" s="86" t="s">
        <v>121</v>
      </c>
    </row>
    <row r="51" spans="1:18" x14ac:dyDescent="0.2">
      <c r="A51" s="86" t="s">
        <v>122</v>
      </c>
    </row>
    <row r="52" spans="1:18" x14ac:dyDescent="0.2">
      <c r="A52" s="86" t="s">
        <v>123</v>
      </c>
    </row>
    <row r="53" spans="1:18" ht="19" x14ac:dyDescent="0.25">
      <c r="A53" s="91" t="s">
        <v>20</v>
      </c>
    </row>
    <row r="54" spans="1:18" x14ac:dyDescent="0.2">
      <c r="A54" s="86" t="s">
        <v>124</v>
      </c>
    </row>
    <row r="55" spans="1:18" ht="19" x14ac:dyDescent="0.25">
      <c r="A55" s="91" t="s">
        <v>28</v>
      </c>
    </row>
    <row r="56" spans="1:18" x14ac:dyDescent="0.2">
      <c r="A56" s="86" t="s">
        <v>124</v>
      </c>
    </row>
    <row r="60" spans="1:18" ht="24" x14ac:dyDescent="0.3">
      <c r="A60" s="44" t="s">
        <v>83</v>
      </c>
      <c r="B60" s="36"/>
      <c r="C60" s="36"/>
      <c r="D60" s="36"/>
      <c r="E60" s="36"/>
      <c r="F60" s="36"/>
      <c r="G60" s="36"/>
      <c r="H60" s="36"/>
      <c r="I60" s="36"/>
      <c r="J60" s="36"/>
      <c r="K60" s="36"/>
    </row>
    <row r="62" spans="1:18" ht="27" x14ac:dyDescent="0.35">
      <c r="A62" s="69" t="s">
        <v>125</v>
      </c>
      <c r="R62" s="17"/>
    </row>
    <row r="63" spans="1:18" x14ac:dyDescent="0.2">
      <c r="A63" s="59" t="s">
        <v>2</v>
      </c>
      <c r="B63" s="38" t="s">
        <v>110</v>
      </c>
      <c r="C63" s="38" t="s">
        <v>111</v>
      </c>
      <c r="D63" s="59" t="s">
        <v>126</v>
      </c>
      <c r="E63" s="59" t="s">
        <v>498</v>
      </c>
      <c r="F63" s="59" t="s">
        <v>113</v>
      </c>
      <c r="G63" s="59" t="s">
        <v>114</v>
      </c>
      <c r="H63" s="59" t="s">
        <v>127</v>
      </c>
      <c r="I63" s="59" t="s">
        <v>499</v>
      </c>
      <c r="J63" s="59" t="s">
        <v>500</v>
      </c>
      <c r="K63" s="59" t="s">
        <v>128</v>
      </c>
    </row>
    <row r="64" spans="1:18" ht="34" x14ac:dyDescent="0.2">
      <c r="A64" s="50" t="s">
        <v>11</v>
      </c>
      <c r="B64" s="50">
        <v>210</v>
      </c>
      <c r="C64" s="50">
        <v>348</v>
      </c>
      <c r="D64" s="50">
        <v>138</v>
      </c>
      <c r="E64" s="15">
        <f>IFERROR(D64/B17, "N/A")</f>
        <v>0.65714285714285714</v>
      </c>
      <c r="F64" s="52">
        <v>10240</v>
      </c>
      <c r="G64" s="52">
        <v>18470</v>
      </c>
      <c r="H64" s="52">
        <f>G64-F64</f>
        <v>8230</v>
      </c>
      <c r="I64" s="15">
        <f>IFERROR(H64/F64, "N/A")</f>
        <v>0.8037109375</v>
      </c>
      <c r="J64" s="92">
        <f>D64/$D$71</f>
        <v>0.69</v>
      </c>
      <c r="K64" s="65" t="s">
        <v>132</v>
      </c>
    </row>
    <row r="65" spans="1:25" ht="34" x14ac:dyDescent="0.2">
      <c r="A65" s="50" t="s">
        <v>16</v>
      </c>
      <c r="B65" s="50">
        <v>62</v>
      </c>
      <c r="C65" s="50">
        <v>118</v>
      </c>
      <c r="D65" s="50">
        <v>56</v>
      </c>
      <c r="E65" s="15">
        <f>IFERROR(D65/B18, "N/A")</f>
        <v>0.90322580645161288</v>
      </c>
      <c r="F65" s="52">
        <v>5120</v>
      </c>
      <c r="G65" s="52">
        <v>9840</v>
      </c>
      <c r="H65" s="52">
        <f t="shared" ref="H65:H70" si="0">G65-F65</f>
        <v>4720</v>
      </c>
      <c r="I65" s="15">
        <f t="shared" ref="I65:I70" si="1">IFERROR(H65/F65, "N/A")</f>
        <v>0.921875</v>
      </c>
      <c r="J65" s="92">
        <f>D65/$D$71</f>
        <v>0.28000000000000003</v>
      </c>
      <c r="K65" s="65" t="s">
        <v>129</v>
      </c>
    </row>
    <row r="66" spans="1:25" ht="17" x14ac:dyDescent="0.2">
      <c r="A66" s="50" t="s">
        <v>20</v>
      </c>
      <c r="B66" s="50">
        <v>18</v>
      </c>
      <c r="C66" s="50">
        <v>16</v>
      </c>
      <c r="D66" s="50">
        <v>-2</v>
      </c>
      <c r="E66" s="15">
        <f>IFERROR(D66/B19, "N/A")</f>
        <v>-0.1111111111111111</v>
      </c>
      <c r="F66" s="52">
        <v>1020</v>
      </c>
      <c r="G66" s="52">
        <v>910</v>
      </c>
      <c r="H66" s="52">
        <f t="shared" si="0"/>
        <v>-110</v>
      </c>
      <c r="I66" s="15">
        <f t="shared" si="1"/>
        <v>-0.10784313725490197</v>
      </c>
      <c r="J66" s="92">
        <f>D66/$D$71</f>
        <v>-0.01</v>
      </c>
      <c r="K66" s="53" t="s">
        <v>130</v>
      </c>
    </row>
    <row r="67" spans="1:25" ht="17" x14ac:dyDescent="0.2">
      <c r="A67" s="50" t="s">
        <v>28</v>
      </c>
      <c r="B67" s="50">
        <v>42</v>
      </c>
      <c r="C67" s="50">
        <v>44</v>
      </c>
      <c r="D67" s="50">
        <v>2</v>
      </c>
      <c r="E67" s="15">
        <f>IFERROR(D67/B20, "N/A")</f>
        <v>4.7619047619047616E-2</v>
      </c>
      <c r="F67" s="52">
        <v>2180</v>
      </c>
      <c r="G67" s="52">
        <v>2330</v>
      </c>
      <c r="H67" s="52">
        <f t="shared" si="0"/>
        <v>150</v>
      </c>
      <c r="I67" s="15">
        <f t="shared" si="1"/>
        <v>6.8807339449541288E-2</v>
      </c>
      <c r="J67" s="92">
        <f>D67/$D$71</f>
        <v>0.01</v>
      </c>
      <c r="K67" s="53" t="s">
        <v>130</v>
      </c>
    </row>
    <row r="68" spans="1:25" s="19" customFormat="1" ht="17" x14ac:dyDescent="0.2">
      <c r="A68" s="97" t="s">
        <v>34</v>
      </c>
      <c r="B68" s="97">
        <v>6</v>
      </c>
      <c r="C68" s="97">
        <v>8</v>
      </c>
      <c r="D68" s="97">
        <v>2</v>
      </c>
      <c r="E68" s="98">
        <f>IFERROR(D68/B21, "N/A")</f>
        <v>0.33333333333333331</v>
      </c>
      <c r="F68" s="99">
        <v>380</v>
      </c>
      <c r="G68" s="99">
        <v>520</v>
      </c>
      <c r="H68" s="99">
        <f t="shared" si="0"/>
        <v>140</v>
      </c>
      <c r="I68" s="98">
        <f t="shared" si="1"/>
        <v>0.36842105263157893</v>
      </c>
      <c r="J68" s="100">
        <f>D68/$D$71</f>
        <v>0.01</v>
      </c>
      <c r="K68" s="65" t="s">
        <v>490</v>
      </c>
    </row>
    <row r="69" spans="1:25" ht="17" x14ac:dyDescent="0.2">
      <c r="A69" s="50" t="s">
        <v>115</v>
      </c>
      <c r="B69" s="50">
        <v>0</v>
      </c>
      <c r="C69" s="50">
        <v>0</v>
      </c>
      <c r="D69" s="50">
        <v>0</v>
      </c>
      <c r="E69" s="15" t="str">
        <f>IFERROR(D69/B22, "N/A")</f>
        <v>N/A</v>
      </c>
      <c r="F69" s="52">
        <v>0</v>
      </c>
      <c r="G69" s="52">
        <v>0</v>
      </c>
      <c r="H69" s="52">
        <f t="shared" si="0"/>
        <v>0</v>
      </c>
      <c r="I69" s="15" t="str">
        <f t="shared" si="1"/>
        <v>N/A</v>
      </c>
      <c r="J69" s="92">
        <f>D69/$D$71</f>
        <v>0</v>
      </c>
      <c r="K69" s="53" t="s">
        <v>131</v>
      </c>
    </row>
    <row r="70" spans="1:25" ht="17" x14ac:dyDescent="0.2">
      <c r="A70" s="50" t="s">
        <v>116</v>
      </c>
      <c r="B70" s="50">
        <v>14</v>
      </c>
      <c r="C70" s="50">
        <v>18</v>
      </c>
      <c r="D70" s="50">
        <v>4</v>
      </c>
      <c r="E70" s="15">
        <f>IFERROR(D70/B23, "N/A")</f>
        <v>0.2857142857142857</v>
      </c>
      <c r="F70" s="52">
        <v>920</v>
      </c>
      <c r="G70" s="52">
        <v>1210</v>
      </c>
      <c r="H70" s="52">
        <f t="shared" si="0"/>
        <v>290</v>
      </c>
      <c r="I70" s="15">
        <f t="shared" si="1"/>
        <v>0.31521739130434784</v>
      </c>
      <c r="J70" s="92">
        <f>D70/$D$71</f>
        <v>0.02</v>
      </c>
      <c r="K70" s="53" t="s">
        <v>490</v>
      </c>
    </row>
    <row r="71" spans="1:25" x14ac:dyDescent="0.2">
      <c r="A71" s="50" t="s">
        <v>133</v>
      </c>
      <c r="B71" s="50">
        <f>SUM($B$64:$B$70)</f>
        <v>352</v>
      </c>
      <c r="C71" s="50">
        <f>SUM($C$64:$C$70)</f>
        <v>552</v>
      </c>
      <c r="D71" s="50">
        <f>SUM($D$64:$D$70)</f>
        <v>200</v>
      </c>
      <c r="E71" s="92">
        <f>D71/B71</f>
        <v>0.56818181818181823</v>
      </c>
      <c r="F71" s="52">
        <f>SUM($F$64:$F$70)</f>
        <v>19860</v>
      </c>
      <c r="G71" s="52">
        <f>SUM($G$64:$G$70)</f>
        <v>33280</v>
      </c>
      <c r="H71" s="52">
        <f>SUM($H$64:$H$70)</f>
        <v>13420</v>
      </c>
      <c r="I71" s="92">
        <f>H71/F71</f>
        <v>0.67573011077542799</v>
      </c>
      <c r="J71" s="50"/>
      <c r="K71" s="50"/>
    </row>
    <row r="72" spans="1:25" x14ac:dyDescent="0.2">
      <c r="R72" s="17"/>
    </row>
    <row r="74" spans="1:25" x14ac:dyDescent="0.2">
      <c r="A74" s="93" t="s">
        <v>97</v>
      </c>
      <c r="B74" s="93" t="s">
        <v>98</v>
      </c>
      <c r="C74" s="93" t="s">
        <v>137</v>
      </c>
      <c r="D74" s="93" t="s">
        <v>138</v>
      </c>
      <c r="E74" s="93"/>
      <c r="F74" s="93" t="s">
        <v>501</v>
      </c>
      <c r="G74" s="93" t="s">
        <v>139</v>
      </c>
      <c r="R74" s="30"/>
      <c r="S74" s="30"/>
      <c r="T74" s="30"/>
      <c r="U74" s="30"/>
      <c r="V74" s="30"/>
      <c r="W74" s="30"/>
      <c r="X74" s="30"/>
      <c r="Y74" s="30"/>
    </row>
    <row r="75" spans="1:25" x14ac:dyDescent="0.2">
      <c r="A75" s="94" t="s">
        <v>99</v>
      </c>
      <c r="B75" s="95">
        <f>F71</f>
        <v>19860</v>
      </c>
      <c r="C75" s="122">
        <f>B76-B75</f>
        <v>13420</v>
      </c>
      <c r="D75" s="96">
        <f>C75/B75</f>
        <v>0.67573011077542799</v>
      </c>
      <c r="E75" s="94"/>
      <c r="F75" s="95">
        <f>SUM(G64:G65)</f>
        <v>28310</v>
      </c>
      <c r="G75" s="95">
        <f>SUM($G$66:$G$70)</f>
        <v>4970</v>
      </c>
    </row>
    <row r="76" spans="1:25" x14ac:dyDescent="0.2">
      <c r="A76" s="94" t="s">
        <v>100</v>
      </c>
      <c r="B76" s="95">
        <f>G71</f>
        <v>33280</v>
      </c>
      <c r="C76" s="94"/>
      <c r="D76" s="94"/>
      <c r="E76" s="94"/>
      <c r="F76" s="94" t="s">
        <v>502</v>
      </c>
      <c r="G76" s="94"/>
      <c r="R76" s="30"/>
      <c r="S76" s="30"/>
      <c r="T76" s="30"/>
      <c r="U76" s="30"/>
      <c r="V76" s="30"/>
      <c r="W76" s="30"/>
      <c r="X76" s="30"/>
      <c r="Y76" s="30"/>
    </row>
    <row r="77" spans="1:25" x14ac:dyDescent="0.2">
      <c r="A77" s="94"/>
      <c r="B77" s="94"/>
      <c r="C77" s="94"/>
      <c r="D77" s="94"/>
      <c r="E77" s="94"/>
      <c r="F77" s="95">
        <f>SUM(F64:F65)</f>
        <v>15360</v>
      </c>
      <c r="G77" s="95">
        <f>SUM(F66:F70)</f>
        <v>4500</v>
      </c>
    </row>
    <row r="78" spans="1:25" x14ac:dyDescent="0.2">
      <c r="A78" s="94"/>
      <c r="B78" s="94"/>
      <c r="C78" s="94"/>
      <c r="D78" s="94"/>
      <c r="E78" s="94"/>
      <c r="F78" s="94" t="s">
        <v>137</v>
      </c>
      <c r="G78" s="94"/>
    </row>
    <row r="79" spans="1:25" x14ac:dyDescent="0.2">
      <c r="A79" s="94"/>
      <c r="B79" s="94"/>
      <c r="C79" s="94"/>
      <c r="D79" s="94"/>
      <c r="E79" s="94"/>
      <c r="F79" s="95">
        <f>F75-F77</f>
        <v>12950</v>
      </c>
      <c r="G79" s="95">
        <f>G75-G77</f>
        <v>470</v>
      </c>
    </row>
    <row r="82" spans="1:11" ht="24" x14ac:dyDescent="0.3">
      <c r="A82" s="45" t="s">
        <v>476</v>
      </c>
      <c r="B82" s="36"/>
      <c r="C82" s="36"/>
      <c r="D82" s="36"/>
      <c r="E82" s="36"/>
      <c r="F82" s="36"/>
      <c r="G82" s="36"/>
      <c r="H82" s="36"/>
      <c r="I82" s="36"/>
      <c r="J82" s="36"/>
      <c r="K82" s="36"/>
    </row>
    <row r="83" spans="1:11" ht="24" x14ac:dyDescent="0.2">
      <c r="A83" s="71" t="s">
        <v>136</v>
      </c>
      <c r="B83" s="71"/>
      <c r="C83" s="71"/>
    </row>
    <row r="84" spans="1:11" x14ac:dyDescent="0.2">
      <c r="A84" s="17" t="s">
        <v>135</v>
      </c>
    </row>
    <row r="85" spans="1:11" x14ac:dyDescent="0.2">
      <c r="A85" s="17" t="s">
        <v>503</v>
      </c>
    </row>
    <row r="87" spans="1:11" ht="133" customHeight="1" x14ac:dyDescent="0.2">
      <c r="A87" s="27" t="s">
        <v>504</v>
      </c>
      <c r="B87" s="27"/>
      <c r="C87" s="27"/>
      <c r="D87" s="26"/>
      <c r="E87" s="26"/>
      <c r="F87" s="10"/>
      <c r="G87" s="10"/>
      <c r="H87" s="10"/>
    </row>
    <row r="88" spans="1:11" ht="99" customHeight="1" x14ac:dyDescent="0.2">
      <c r="A88" s="27" t="s">
        <v>505</v>
      </c>
      <c r="B88" s="27"/>
      <c r="C88" s="27"/>
      <c r="D88" s="26"/>
      <c r="E88" s="26"/>
      <c r="F88" s="10"/>
      <c r="G88" s="10"/>
      <c r="H88" s="10"/>
    </row>
  </sheetData>
  <mergeCells count="9">
    <mergeCell ref="R76:Y76"/>
    <mergeCell ref="A6:C6"/>
    <mergeCell ref="A7:C7"/>
    <mergeCell ref="A8:C8"/>
    <mergeCell ref="R74:Y74"/>
    <mergeCell ref="A87:C87"/>
    <mergeCell ref="A88:C88"/>
    <mergeCell ref="A83:C83"/>
    <mergeCell ref="A41:B41"/>
  </mergeCells>
  <conditionalFormatting sqref="E64:E70">
    <cfRule type="top10" dxfId="57" priority="3" rank="3"/>
  </conditionalFormatting>
  <conditionalFormatting sqref="I64:I70">
    <cfRule type="top10" dxfId="56" priority="2" rank="3"/>
  </conditionalFormatting>
  <conditionalFormatting sqref="J64:J70">
    <cfRule type="top10" dxfId="55" priority="1" rank="2"/>
  </conditionalFormatting>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54C81-E614-ED4F-AD47-88977DA3FB03}">
  <dimension ref="A1:Q102"/>
  <sheetViews>
    <sheetView zoomScaleNormal="100" workbookViewId="0"/>
  </sheetViews>
  <sheetFormatPr baseColWidth="10" defaultRowHeight="16" x14ac:dyDescent="0.2"/>
  <cols>
    <col min="1" max="1" width="76.1640625" customWidth="1"/>
    <col min="2" max="2" width="24.6640625" bestFit="1" customWidth="1"/>
    <col min="3" max="3" width="28.6640625" bestFit="1" customWidth="1"/>
    <col min="4" max="4" width="10.83203125" bestFit="1" customWidth="1"/>
    <col min="5" max="5" width="12.5" customWidth="1"/>
    <col min="6" max="6" width="10.33203125" customWidth="1"/>
    <col min="7" max="7" width="11.83203125" customWidth="1"/>
  </cols>
  <sheetData>
    <row r="1" spans="1:17" ht="32" x14ac:dyDescent="0.4">
      <c r="A1" s="44" t="s">
        <v>188</v>
      </c>
      <c r="B1" s="44"/>
      <c r="C1" s="44"/>
      <c r="D1" s="44"/>
      <c r="E1" s="44"/>
      <c r="F1" s="44"/>
      <c r="G1" s="44"/>
      <c r="H1" s="36"/>
      <c r="I1" s="36"/>
      <c r="J1" s="36"/>
      <c r="K1" s="36"/>
      <c r="L1" s="36"/>
      <c r="M1" s="36"/>
      <c r="Q1" s="5"/>
    </row>
    <row r="2" spans="1:17" ht="19" x14ac:dyDescent="0.25">
      <c r="A2" s="17" t="s">
        <v>179</v>
      </c>
      <c r="B2" s="21"/>
    </row>
    <row r="3" spans="1:17" ht="19" x14ac:dyDescent="0.25">
      <c r="A3" s="1" t="s">
        <v>37</v>
      </c>
      <c r="Q3" s="20"/>
    </row>
    <row r="4" spans="1:17" x14ac:dyDescent="0.2">
      <c r="A4" t="s">
        <v>38</v>
      </c>
    </row>
    <row r="5" spans="1:17" ht="50" customHeight="1" x14ac:dyDescent="0.2">
      <c r="A5" s="47" t="s">
        <v>180</v>
      </c>
      <c r="B5" s="47"/>
      <c r="C5" s="23"/>
    </row>
    <row r="6" spans="1:17" ht="37" customHeight="1" x14ac:dyDescent="0.2">
      <c r="A6" s="47" t="s">
        <v>181</v>
      </c>
      <c r="B6" s="47"/>
      <c r="C6" s="23"/>
      <c r="Q6" s="1"/>
    </row>
    <row r="7" spans="1:17" x14ac:dyDescent="0.2">
      <c r="A7" s="48" t="s">
        <v>182</v>
      </c>
      <c r="B7" s="48"/>
    </row>
    <row r="8" spans="1:17" x14ac:dyDescent="0.2">
      <c r="A8" s="48" t="s">
        <v>183</v>
      </c>
      <c r="B8" s="48"/>
    </row>
    <row r="9" spans="1:17" x14ac:dyDescent="0.2">
      <c r="A9" s="48" t="s">
        <v>184</v>
      </c>
      <c r="B9" s="48"/>
    </row>
    <row r="10" spans="1:17" x14ac:dyDescent="0.2">
      <c r="A10" s="48" t="s">
        <v>185</v>
      </c>
      <c r="B10" s="48"/>
    </row>
    <row r="11" spans="1:17" x14ac:dyDescent="0.2">
      <c r="A11" s="48" t="s">
        <v>186</v>
      </c>
      <c r="B11" s="48"/>
    </row>
    <row r="12" spans="1:17" x14ac:dyDescent="0.2">
      <c r="A12" s="48"/>
      <c r="B12" s="48"/>
    </row>
    <row r="13" spans="1:17" ht="35" customHeight="1" x14ac:dyDescent="0.2">
      <c r="A13" s="27" t="s">
        <v>187</v>
      </c>
      <c r="B13" s="27"/>
    </row>
    <row r="14" spans="1:17" x14ac:dyDescent="0.2">
      <c r="A14" t="s">
        <v>40</v>
      </c>
    </row>
    <row r="15" spans="1:17" x14ac:dyDescent="0.2">
      <c r="A15" t="s">
        <v>41</v>
      </c>
    </row>
    <row r="17" spans="1:13" ht="24" x14ac:dyDescent="0.3">
      <c r="A17" s="44" t="s">
        <v>82</v>
      </c>
      <c r="B17" s="44"/>
      <c r="C17" s="44"/>
      <c r="D17" s="44"/>
      <c r="E17" s="44"/>
      <c r="F17" s="44"/>
      <c r="G17" s="44"/>
      <c r="H17" s="36"/>
      <c r="I17" s="36"/>
      <c r="J17" s="36"/>
      <c r="K17" s="36"/>
      <c r="L17" s="36"/>
      <c r="M17" s="36"/>
    </row>
    <row r="18" spans="1:13" ht="22" x14ac:dyDescent="0.3">
      <c r="A18" s="70" t="s">
        <v>140</v>
      </c>
      <c r="B18" s="50"/>
    </row>
    <row r="19" spans="1:13" x14ac:dyDescent="0.2">
      <c r="A19" s="87" t="s">
        <v>141</v>
      </c>
      <c r="B19" s="87" t="s">
        <v>142</v>
      </c>
    </row>
    <row r="20" spans="1:13" x14ac:dyDescent="0.2">
      <c r="A20" s="86" t="s">
        <v>143</v>
      </c>
      <c r="B20" s="88">
        <v>918450</v>
      </c>
    </row>
    <row r="21" spans="1:13" x14ac:dyDescent="0.2">
      <c r="A21" s="86" t="s">
        <v>144</v>
      </c>
      <c r="B21" s="88">
        <v>70256</v>
      </c>
    </row>
    <row r="22" spans="1:13" x14ac:dyDescent="0.2">
      <c r="A22" s="86" t="s">
        <v>145</v>
      </c>
      <c r="B22" s="88">
        <v>46120</v>
      </c>
    </row>
    <row r="23" spans="1:13" x14ac:dyDescent="0.2">
      <c r="A23" s="86" t="s">
        <v>146</v>
      </c>
      <c r="B23" s="89">
        <v>1034826</v>
      </c>
    </row>
    <row r="24" spans="1:13" x14ac:dyDescent="0.2">
      <c r="B24" s="14"/>
    </row>
    <row r="25" spans="1:13" x14ac:dyDescent="0.2">
      <c r="B25" s="14"/>
    </row>
    <row r="26" spans="1:13" ht="22" x14ac:dyDescent="0.3">
      <c r="A26" s="70" t="s">
        <v>147</v>
      </c>
      <c r="B26" s="52"/>
    </row>
    <row r="27" spans="1:13" x14ac:dyDescent="0.2">
      <c r="A27" s="87" t="s">
        <v>148</v>
      </c>
      <c r="B27" s="89" t="s">
        <v>142</v>
      </c>
    </row>
    <row r="28" spans="1:13" x14ac:dyDescent="0.2">
      <c r="A28" s="86" t="s">
        <v>149</v>
      </c>
      <c r="B28" s="88">
        <v>918450</v>
      </c>
    </row>
    <row r="29" spans="1:13" x14ac:dyDescent="0.2">
      <c r="A29" s="86" t="s">
        <v>144</v>
      </c>
      <c r="B29" s="88">
        <v>70256</v>
      </c>
    </row>
    <row r="30" spans="1:13" x14ac:dyDescent="0.2">
      <c r="A30" s="86" t="s">
        <v>150</v>
      </c>
      <c r="B30" s="88">
        <v>43720</v>
      </c>
    </row>
    <row r="31" spans="1:13" x14ac:dyDescent="0.2">
      <c r="A31" s="86" t="s">
        <v>146</v>
      </c>
      <c r="B31" s="89">
        <v>1032426</v>
      </c>
    </row>
    <row r="34" spans="1:3" ht="22" x14ac:dyDescent="0.3">
      <c r="A34" s="70" t="s">
        <v>153</v>
      </c>
    </row>
    <row r="35" spans="1:3" x14ac:dyDescent="0.2">
      <c r="A35" s="87" t="s">
        <v>154</v>
      </c>
    </row>
    <row r="36" spans="1:3" x14ac:dyDescent="0.2">
      <c r="A36" s="86" t="s">
        <v>155</v>
      </c>
    </row>
    <row r="37" spans="1:3" x14ac:dyDescent="0.2">
      <c r="A37" s="86" t="s">
        <v>156</v>
      </c>
    </row>
    <row r="38" spans="1:3" x14ac:dyDescent="0.2">
      <c r="A38" s="86"/>
    </row>
    <row r="39" spans="1:3" x14ac:dyDescent="0.2">
      <c r="A39" s="87" t="s">
        <v>157</v>
      </c>
    </row>
    <row r="40" spans="1:3" x14ac:dyDescent="0.2">
      <c r="A40" s="86" t="s">
        <v>158</v>
      </c>
    </row>
    <row r="41" spans="1:3" x14ac:dyDescent="0.2">
      <c r="A41" s="86"/>
    </row>
    <row r="42" spans="1:3" x14ac:dyDescent="0.2">
      <c r="A42" s="87" t="s">
        <v>159</v>
      </c>
    </row>
    <row r="43" spans="1:3" x14ac:dyDescent="0.2">
      <c r="A43" s="86" t="s">
        <v>160</v>
      </c>
    </row>
    <row r="46" spans="1:3" ht="22" x14ac:dyDescent="0.3">
      <c r="A46" s="70" t="s">
        <v>161</v>
      </c>
      <c r="B46" s="50"/>
      <c r="C46" s="50"/>
    </row>
    <row r="47" spans="1:3" x14ac:dyDescent="0.2">
      <c r="A47" s="86" t="s">
        <v>162</v>
      </c>
      <c r="B47" s="86"/>
      <c r="C47" s="86"/>
    </row>
    <row r="48" spans="1:3" x14ac:dyDescent="0.2">
      <c r="A48" s="86"/>
      <c r="B48" s="86"/>
      <c r="C48" s="86"/>
    </row>
    <row r="49" spans="1:13" x14ac:dyDescent="0.2">
      <c r="A49" s="87" t="s">
        <v>1</v>
      </c>
      <c r="B49" s="87" t="s">
        <v>163</v>
      </c>
      <c r="C49" s="87" t="s">
        <v>164</v>
      </c>
    </row>
    <row r="50" spans="1:13" x14ac:dyDescent="0.2">
      <c r="A50" s="86" t="s">
        <v>31</v>
      </c>
      <c r="B50" s="103">
        <v>46235</v>
      </c>
      <c r="C50" s="88">
        <v>800</v>
      </c>
    </row>
    <row r="51" spans="1:13" x14ac:dyDescent="0.2">
      <c r="A51" s="86" t="s">
        <v>19</v>
      </c>
      <c r="B51" s="103">
        <v>46235</v>
      </c>
      <c r="C51" s="88">
        <v>800</v>
      </c>
    </row>
    <row r="52" spans="1:13" x14ac:dyDescent="0.2">
      <c r="A52" s="86" t="s">
        <v>25</v>
      </c>
      <c r="B52" s="103">
        <v>46235</v>
      </c>
      <c r="C52" s="88">
        <v>800</v>
      </c>
    </row>
    <row r="55" spans="1:13" ht="22" x14ac:dyDescent="0.3">
      <c r="A55" s="46" t="s">
        <v>151</v>
      </c>
    </row>
    <row r="56" spans="1:13" x14ac:dyDescent="0.2">
      <c r="A56" s="104" t="s">
        <v>152</v>
      </c>
    </row>
    <row r="59" spans="1:13" ht="24" x14ac:dyDescent="0.3">
      <c r="A59" s="44" t="s">
        <v>83</v>
      </c>
      <c r="B59" s="44"/>
      <c r="C59" s="44"/>
      <c r="D59" s="44"/>
      <c r="E59" s="44"/>
      <c r="F59" s="44"/>
      <c r="G59" s="44"/>
      <c r="H59" s="36"/>
      <c r="I59" s="36"/>
      <c r="J59" s="36"/>
      <c r="K59" s="36"/>
      <c r="L59" s="36"/>
      <c r="M59" s="36"/>
    </row>
    <row r="60" spans="1:13" ht="24" x14ac:dyDescent="0.3">
      <c r="A60" s="24"/>
    </row>
    <row r="61" spans="1:13" x14ac:dyDescent="0.2">
      <c r="A61" s="93" t="s">
        <v>141</v>
      </c>
      <c r="B61" s="93" t="s">
        <v>189</v>
      </c>
      <c r="C61" s="93" t="s">
        <v>190</v>
      </c>
      <c r="D61" s="93" t="s">
        <v>137</v>
      </c>
    </row>
    <row r="62" spans="1:13" x14ac:dyDescent="0.2">
      <c r="A62" s="86" t="s">
        <v>192</v>
      </c>
      <c r="B62" s="88">
        <v>918450</v>
      </c>
      <c r="C62" s="88">
        <v>918450</v>
      </c>
      <c r="D62" s="88">
        <f>B62-C62</f>
        <v>0</v>
      </c>
    </row>
    <row r="63" spans="1:13" x14ac:dyDescent="0.2">
      <c r="A63" s="86" t="s">
        <v>144</v>
      </c>
      <c r="B63" s="88">
        <v>70256</v>
      </c>
      <c r="C63" s="88">
        <v>70256</v>
      </c>
      <c r="D63" s="88">
        <f t="shared" ref="D63:D65" si="0">B63-C63</f>
        <v>0</v>
      </c>
    </row>
    <row r="64" spans="1:13" x14ac:dyDescent="0.2">
      <c r="A64" s="86" t="s">
        <v>191</v>
      </c>
      <c r="B64" s="88">
        <v>46120</v>
      </c>
      <c r="C64" s="88">
        <v>43720</v>
      </c>
      <c r="D64" s="88">
        <f t="shared" si="0"/>
        <v>2400</v>
      </c>
    </row>
    <row r="65" spans="1:13" x14ac:dyDescent="0.2">
      <c r="A65" s="86" t="s">
        <v>146</v>
      </c>
      <c r="B65" s="88">
        <f>SUM($B$62:$B$64)</f>
        <v>1034826</v>
      </c>
      <c r="C65" s="88">
        <f>SUM($C$62:$C$64)</f>
        <v>1032426</v>
      </c>
      <c r="D65" s="88">
        <f t="shared" si="0"/>
        <v>2400</v>
      </c>
      <c r="E65" s="16"/>
    </row>
    <row r="67" spans="1:13" x14ac:dyDescent="0.2">
      <c r="C67" s="9"/>
    </row>
    <row r="68" spans="1:13" x14ac:dyDescent="0.2">
      <c r="A68" s="86" t="s">
        <v>162</v>
      </c>
      <c r="B68" s="86"/>
      <c r="C68" s="86"/>
    </row>
    <row r="69" spans="1:13" x14ac:dyDescent="0.2">
      <c r="A69" s="87" t="s">
        <v>1</v>
      </c>
      <c r="B69" s="87" t="s">
        <v>163</v>
      </c>
      <c r="C69" s="87" t="s">
        <v>164</v>
      </c>
    </row>
    <row r="70" spans="1:13" x14ac:dyDescent="0.2">
      <c r="A70" s="86" t="s">
        <v>31</v>
      </c>
      <c r="B70" s="103">
        <v>46235</v>
      </c>
      <c r="C70" s="88">
        <v>800</v>
      </c>
    </row>
    <row r="71" spans="1:13" x14ac:dyDescent="0.2">
      <c r="A71" s="86" t="s">
        <v>19</v>
      </c>
      <c r="B71" s="103">
        <v>46235</v>
      </c>
      <c r="C71" s="88">
        <v>800</v>
      </c>
    </row>
    <row r="72" spans="1:13" x14ac:dyDescent="0.2">
      <c r="A72" s="86" t="s">
        <v>25</v>
      </c>
      <c r="B72" s="103">
        <v>46235</v>
      </c>
      <c r="C72" s="88">
        <v>800</v>
      </c>
    </row>
    <row r="73" spans="1:13" x14ac:dyDescent="0.2">
      <c r="A73" s="78"/>
      <c r="B73" s="78" t="s">
        <v>61</v>
      </c>
      <c r="C73" s="105">
        <f>SUM($C$70:$C$72)</f>
        <v>2400</v>
      </c>
    </row>
    <row r="75" spans="1:13" ht="24" x14ac:dyDescent="0.3">
      <c r="A75" s="45" t="s">
        <v>478</v>
      </c>
      <c r="B75" s="36"/>
      <c r="C75" s="36"/>
      <c r="D75" s="36"/>
      <c r="E75" s="36"/>
      <c r="F75" s="36"/>
      <c r="G75" s="36"/>
      <c r="H75" s="36"/>
      <c r="I75" s="36"/>
      <c r="J75" s="36"/>
      <c r="K75" s="36"/>
      <c r="L75" s="36"/>
      <c r="M75" s="36"/>
    </row>
    <row r="76" spans="1:13" ht="22" x14ac:dyDescent="0.2">
      <c r="A76" s="106" t="s">
        <v>165</v>
      </c>
      <c r="B76" s="106"/>
      <c r="C76" s="106"/>
    </row>
    <row r="77" spans="1:13" x14ac:dyDescent="0.2">
      <c r="A77" s="93" t="s">
        <v>140</v>
      </c>
      <c r="B77" s="87" t="s">
        <v>141</v>
      </c>
      <c r="C77" s="87" t="s">
        <v>142</v>
      </c>
    </row>
    <row r="78" spans="1:13" x14ac:dyDescent="0.2">
      <c r="A78" s="94"/>
      <c r="B78" s="86" t="s">
        <v>143</v>
      </c>
      <c r="C78" s="88">
        <v>918450</v>
      </c>
    </row>
    <row r="79" spans="1:13" x14ac:dyDescent="0.2">
      <c r="A79" s="94"/>
      <c r="B79" s="86" t="s">
        <v>144</v>
      </c>
      <c r="C79" s="88">
        <v>70256</v>
      </c>
    </row>
    <row r="80" spans="1:13" x14ac:dyDescent="0.2">
      <c r="A80" s="94"/>
      <c r="B80" s="86" t="s">
        <v>145</v>
      </c>
      <c r="C80" s="88">
        <v>46120</v>
      </c>
    </row>
    <row r="81" spans="1:3" x14ac:dyDescent="0.2">
      <c r="A81" s="94"/>
      <c r="B81" s="86" t="s">
        <v>146</v>
      </c>
      <c r="C81" s="89">
        <v>1034826</v>
      </c>
    </row>
    <row r="82" spans="1:3" x14ac:dyDescent="0.2">
      <c r="A82" s="93" t="s">
        <v>147</v>
      </c>
      <c r="B82" s="87" t="s">
        <v>148</v>
      </c>
      <c r="C82" s="89" t="s">
        <v>142</v>
      </c>
    </row>
    <row r="83" spans="1:3" x14ac:dyDescent="0.2">
      <c r="A83" s="94"/>
      <c r="B83" s="86" t="s">
        <v>149</v>
      </c>
      <c r="C83" s="88">
        <v>918450</v>
      </c>
    </row>
    <row r="84" spans="1:3" x14ac:dyDescent="0.2">
      <c r="A84" s="94"/>
      <c r="B84" s="86" t="s">
        <v>144</v>
      </c>
      <c r="C84" s="88">
        <v>70256</v>
      </c>
    </row>
    <row r="85" spans="1:3" x14ac:dyDescent="0.2">
      <c r="A85" s="94"/>
      <c r="B85" s="86" t="s">
        <v>150</v>
      </c>
      <c r="C85" s="88">
        <v>43720</v>
      </c>
    </row>
    <row r="86" spans="1:3" ht="68" customHeight="1" x14ac:dyDescent="0.2">
      <c r="A86" s="94"/>
      <c r="B86" s="86" t="s">
        <v>146</v>
      </c>
      <c r="C86" s="89">
        <v>1032426</v>
      </c>
    </row>
    <row r="87" spans="1:3" x14ac:dyDescent="0.2">
      <c r="A87" s="94"/>
      <c r="B87" s="86"/>
      <c r="C87" s="88"/>
    </row>
    <row r="88" spans="1:3" x14ac:dyDescent="0.2">
      <c r="A88" s="93" t="s">
        <v>137</v>
      </c>
      <c r="B88" s="86" t="s">
        <v>193</v>
      </c>
      <c r="C88" s="88">
        <f>C86-C81</f>
        <v>-2400</v>
      </c>
    </row>
    <row r="89" spans="1:3" x14ac:dyDescent="0.2">
      <c r="A89" s="86"/>
      <c r="B89" s="86"/>
      <c r="C89" s="86"/>
    </row>
    <row r="90" spans="1:3" x14ac:dyDescent="0.2">
      <c r="A90" s="93" t="s">
        <v>194</v>
      </c>
      <c r="B90" s="86"/>
      <c r="C90" s="86"/>
    </row>
    <row r="91" spans="1:3" x14ac:dyDescent="0.2">
      <c r="A91" s="87" t="s">
        <v>1</v>
      </c>
      <c r="B91" s="87" t="s">
        <v>163</v>
      </c>
      <c r="C91" s="87" t="s">
        <v>164</v>
      </c>
    </row>
    <row r="92" spans="1:3" x14ac:dyDescent="0.2">
      <c r="A92" s="86" t="s">
        <v>31</v>
      </c>
      <c r="B92" s="103">
        <v>46235</v>
      </c>
      <c r="C92" s="88">
        <v>800</v>
      </c>
    </row>
    <row r="93" spans="1:3" x14ac:dyDescent="0.2">
      <c r="A93" s="86" t="s">
        <v>19</v>
      </c>
      <c r="B93" s="103">
        <v>46235</v>
      </c>
      <c r="C93" s="88">
        <v>800</v>
      </c>
    </row>
    <row r="94" spans="1:3" x14ac:dyDescent="0.2">
      <c r="A94" s="86" t="s">
        <v>25</v>
      </c>
      <c r="B94" s="103">
        <v>46235</v>
      </c>
      <c r="C94" s="88">
        <v>800</v>
      </c>
    </row>
    <row r="95" spans="1:3" x14ac:dyDescent="0.2">
      <c r="A95" s="86"/>
      <c r="B95" s="86" t="s">
        <v>61</v>
      </c>
      <c r="C95" s="88">
        <f>SUM($C$70:$C$72)</f>
        <v>2400</v>
      </c>
    </row>
    <row r="96" spans="1:3" x14ac:dyDescent="0.2">
      <c r="A96" s="86"/>
      <c r="B96" s="86"/>
      <c r="C96" s="119"/>
    </row>
    <row r="97" spans="1:3" x14ac:dyDescent="0.2">
      <c r="A97" s="86" t="s">
        <v>195</v>
      </c>
      <c r="B97" s="86"/>
      <c r="C97" s="86"/>
    </row>
    <row r="98" spans="1:3" x14ac:dyDescent="0.2">
      <c r="A98" s="86" t="s">
        <v>196</v>
      </c>
      <c r="B98" s="86"/>
      <c r="C98" s="119"/>
    </row>
    <row r="99" spans="1:3" x14ac:dyDescent="0.2">
      <c r="A99" s="86" t="s">
        <v>197</v>
      </c>
      <c r="B99" s="86"/>
      <c r="C99" s="86"/>
    </row>
    <row r="100" spans="1:3" x14ac:dyDescent="0.2">
      <c r="A100" s="86"/>
      <c r="B100" s="86"/>
      <c r="C100" s="86"/>
    </row>
    <row r="101" spans="1:3" x14ac:dyDescent="0.2">
      <c r="A101" s="93" t="s">
        <v>198</v>
      </c>
      <c r="B101" s="86"/>
      <c r="C101" s="86"/>
    </row>
    <row r="102" spans="1:3" x14ac:dyDescent="0.2">
      <c r="A102" s="101" t="s">
        <v>506</v>
      </c>
      <c r="B102" s="101"/>
      <c r="C102" s="101"/>
    </row>
  </sheetData>
  <mergeCells count="5">
    <mergeCell ref="A5:B5"/>
    <mergeCell ref="A6:B6"/>
    <mergeCell ref="A13:B13"/>
    <mergeCell ref="A102:C102"/>
    <mergeCell ref="A76:C76"/>
  </mergeCells>
  <conditionalFormatting sqref="D62:D65">
    <cfRule type="cellIs" dxfId="54" priority="1" stopIfTrue="1" operator="notEqual">
      <formula>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D9383-462B-6E4C-A8B3-4EE3EB303F62}">
  <dimension ref="A1:N102"/>
  <sheetViews>
    <sheetView zoomScaleNormal="100" workbookViewId="0"/>
  </sheetViews>
  <sheetFormatPr baseColWidth="10" defaultRowHeight="16" x14ac:dyDescent="0.2"/>
  <cols>
    <col min="1" max="1" width="57.33203125" bestFit="1" customWidth="1"/>
    <col min="2" max="2" width="25.5" customWidth="1"/>
    <col min="3" max="3" width="22.5" bestFit="1" customWidth="1"/>
    <col min="4" max="4" width="56.6640625" bestFit="1" customWidth="1"/>
    <col min="5" max="5" width="19.1640625" customWidth="1"/>
    <col min="6" max="6" width="31.83203125" bestFit="1" customWidth="1"/>
    <col min="7" max="7" width="29" bestFit="1" customWidth="1"/>
    <col min="9" max="9" width="11.1640625" customWidth="1"/>
    <col min="10" max="10" width="12.5" customWidth="1"/>
  </cols>
  <sheetData>
    <row r="1" spans="1:12" ht="24" x14ac:dyDescent="0.3">
      <c r="A1" s="44" t="s">
        <v>188</v>
      </c>
      <c r="B1" s="44"/>
      <c r="C1" s="44"/>
      <c r="D1" s="44"/>
      <c r="E1" s="44"/>
      <c r="F1" s="44"/>
      <c r="G1" s="36"/>
    </row>
    <row r="2" spans="1:12" ht="19" x14ac:dyDescent="0.25">
      <c r="A2" s="17" t="s">
        <v>199</v>
      </c>
      <c r="B2" s="21"/>
    </row>
    <row r="3" spans="1:12" x14ac:dyDescent="0.2">
      <c r="A3" s="1" t="s">
        <v>37</v>
      </c>
    </row>
    <row r="4" spans="1:12" x14ac:dyDescent="0.2">
      <c r="A4" t="s">
        <v>38</v>
      </c>
    </row>
    <row r="5" spans="1:12" ht="93" customHeight="1" x14ac:dyDescent="0.2">
      <c r="A5" s="47" t="s">
        <v>206</v>
      </c>
      <c r="B5" s="47"/>
      <c r="C5" s="23"/>
      <c r="D5" s="49" t="s">
        <v>507</v>
      </c>
      <c r="E5" s="23"/>
      <c r="J5" s="23"/>
      <c r="K5" s="23"/>
      <c r="L5" s="23"/>
    </row>
    <row r="6" spans="1:12" x14ac:dyDescent="0.2">
      <c r="A6" s="48" t="s">
        <v>200</v>
      </c>
      <c r="B6" s="48"/>
    </row>
    <row r="7" spans="1:12" x14ac:dyDescent="0.2">
      <c r="A7" s="48" t="s">
        <v>201</v>
      </c>
      <c r="B7" s="48"/>
    </row>
    <row r="8" spans="1:12" x14ac:dyDescent="0.2">
      <c r="A8" s="48" t="s">
        <v>202</v>
      </c>
      <c r="B8" s="48"/>
    </row>
    <row r="9" spans="1:12" x14ac:dyDescent="0.2">
      <c r="A9" s="48" t="s">
        <v>203</v>
      </c>
      <c r="B9" s="48"/>
    </row>
    <row r="10" spans="1:12" x14ac:dyDescent="0.2">
      <c r="A10" s="48" t="s">
        <v>204</v>
      </c>
      <c r="B10" s="48"/>
    </row>
    <row r="11" spans="1:12" x14ac:dyDescent="0.2">
      <c r="A11" t="s">
        <v>205</v>
      </c>
    </row>
    <row r="12" spans="1:12" x14ac:dyDescent="0.2">
      <c r="A12" t="s">
        <v>40</v>
      </c>
    </row>
    <row r="13" spans="1:12" x14ac:dyDescent="0.2">
      <c r="A13" t="s">
        <v>41</v>
      </c>
    </row>
    <row r="15" spans="1:12" ht="24" x14ac:dyDescent="0.3">
      <c r="A15" s="44" t="s">
        <v>82</v>
      </c>
      <c r="B15" s="36"/>
      <c r="C15" s="36"/>
      <c r="D15" s="36"/>
      <c r="E15" s="36"/>
      <c r="F15" s="36"/>
      <c r="G15" s="36"/>
    </row>
    <row r="16" spans="1:12" ht="22" x14ac:dyDescent="0.3">
      <c r="A16" s="70" t="s">
        <v>207</v>
      </c>
      <c r="B16" s="50"/>
      <c r="C16" s="50"/>
      <c r="D16" s="50"/>
      <c r="E16" s="50"/>
      <c r="F16" s="50"/>
      <c r="G16" s="50"/>
    </row>
    <row r="17" spans="1:7" x14ac:dyDescent="0.2">
      <c r="A17" s="38" t="s">
        <v>208</v>
      </c>
      <c r="B17" s="50"/>
      <c r="C17" s="50"/>
      <c r="D17" s="50"/>
      <c r="E17" s="50"/>
      <c r="F17" s="50"/>
      <c r="G17" s="50"/>
    </row>
    <row r="18" spans="1:7" x14ac:dyDescent="0.2">
      <c r="A18" s="38" t="s">
        <v>1</v>
      </c>
      <c r="B18" s="38" t="s">
        <v>2</v>
      </c>
      <c r="C18" s="38" t="s">
        <v>209</v>
      </c>
      <c r="D18" s="38" t="s">
        <v>210</v>
      </c>
      <c r="E18" s="38" t="s">
        <v>211</v>
      </c>
      <c r="F18" s="38" t="s">
        <v>212</v>
      </c>
      <c r="G18" s="38" t="s">
        <v>128</v>
      </c>
    </row>
    <row r="19" spans="1:7" x14ac:dyDescent="0.2">
      <c r="A19" s="50" t="s">
        <v>10</v>
      </c>
      <c r="B19" s="50" t="s">
        <v>11</v>
      </c>
      <c r="C19" s="66">
        <v>46259</v>
      </c>
      <c r="D19" s="50">
        <v>9.5</v>
      </c>
      <c r="E19" s="50" t="s">
        <v>213</v>
      </c>
      <c r="F19" s="50" t="s">
        <v>214</v>
      </c>
      <c r="G19" s="50" t="s">
        <v>215</v>
      </c>
    </row>
    <row r="20" spans="1:7" x14ac:dyDescent="0.2">
      <c r="A20" s="50" t="s">
        <v>15</v>
      </c>
      <c r="B20" s="50" t="s">
        <v>16</v>
      </c>
      <c r="C20" s="66">
        <v>46260</v>
      </c>
      <c r="D20" s="50">
        <v>8</v>
      </c>
      <c r="E20" s="50" t="s">
        <v>216</v>
      </c>
      <c r="F20" s="50" t="s">
        <v>214</v>
      </c>
      <c r="G20" s="50"/>
    </row>
    <row r="21" spans="1:7" x14ac:dyDescent="0.2">
      <c r="A21" s="50" t="s">
        <v>18</v>
      </c>
      <c r="B21" s="50" t="s">
        <v>11</v>
      </c>
      <c r="C21" s="66">
        <v>46261</v>
      </c>
      <c r="D21" s="50">
        <v>10</v>
      </c>
      <c r="E21" s="50" t="s">
        <v>213</v>
      </c>
      <c r="F21" s="50" t="s">
        <v>214</v>
      </c>
      <c r="G21" s="50" t="s">
        <v>217</v>
      </c>
    </row>
    <row r="22" spans="1:7" x14ac:dyDescent="0.2">
      <c r="A22" s="50" t="s">
        <v>19</v>
      </c>
      <c r="B22" s="50" t="s">
        <v>20</v>
      </c>
      <c r="C22" s="66">
        <v>46262</v>
      </c>
      <c r="D22" s="50">
        <v>9</v>
      </c>
      <c r="E22" s="50" t="s">
        <v>213</v>
      </c>
      <c r="F22" s="50" t="s">
        <v>218</v>
      </c>
      <c r="G22" s="50"/>
    </row>
    <row r="23" spans="1:7" x14ac:dyDescent="0.2">
      <c r="A23" s="50" t="s">
        <v>24</v>
      </c>
      <c r="B23" s="50" t="s">
        <v>11</v>
      </c>
      <c r="C23" s="66">
        <v>46265</v>
      </c>
      <c r="D23" s="50">
        <v>8.5</v>
      </c>
      <c r="E23" s="50" t="s">
        <v>213</v>
      </c>
      <c r="F23" s="50" t="s">
        <v>214</v>
      </c>
      <c r="G23" s="50" t="s">
        <v>219</v>
      </c>
    </row>
    <row r="24" spans="1:7" x14ac:dyDescent="0.2">
      <c r="A24" s="50" t="s">
        <v>25</v>
      </c>
      <c r="B24" s="50" t="s">
        <v>26</v>
      </c>
      <c r="C24" s="66">
        <v>46266</v>
      </c>
      <c r="D24" s="50">
        <v>8</v>
      </c>
      <c r="E24" s="50" t="s">
        <v>213</v>
      </c>
      <c r="F24" s="50" t="s">
        <v>214</v>
      </c>
      <c r="G24" s="50" t="s">
        <v>220</v>
      </c>
    </row>
    <row r="25" spans="1:7" x14ac:dyDescent="0.2">
      <c r="A25" s="50" t="s">
        <v>27</v>
      </c>
      <c r="B25" s="50" t="s">
        <v>28</v>
      </c>
      <c r="C25" s="66">
        <v>46267</v>
      </c>
      <c r="D25" s="50">
        <v>11</v>
      </c>
      <c r="E25" s="50" t="s">
        <v>213</v>
      </c>
      <c r="F25" s="50" t="s">
        <v>214</v>
      </c>
      <c r="G25" s="50" t="s">
        <v>221</v>
      </c>
    </row>
    <row r="26" spans="1:7" x14ac:dyDescent="0.2">
      <c r="A26" s="50" t="s">
        <v>30</v>
      </c>
      <c r="B26" s="50" t="s">
        <v>16</v>
      </c>
      <c r="C26" s="66">
        <v>46268</v>
      </c>
      <c r="D26" s="50">
        <v>9</v>
      </c>
      <c r="E26" s="50" t="s">
        <v>216</v>
      </c>
      <c r="F26" s="50" t="s">
        <v>214</v>
      </c>
      <c r="G26" s="50"/>
    </row>
    <row r="27" spans="1:7" x14ac:dyDescent="0.2">
      <c r="A27" s="50" t="s">
        <v>33</v>
      </c>
      <c r="B27" s="50" t="s">
        <v>34</v>
      </c>
      <c r="C27" s="66">
        <v>46269</v>
      </c>
      <c r="D27" s="50">
        <v>9.25</v>
      </c>
      <c r="E27" s="50" t="s">
        <v>213</v>
      </c>
      <c r="F27" s="50" t="s">
        <v>214</v>
      </c>
      <c r="G27" s="50" t="s">
        <v>215</v>
      </c>
    </row>
    <row r="28" spans="1:7" x14ac:dyDescent="0.2">
      <c r="A28" s="50" t="s">
        <v>31</v>
      </c>
      <c r="B28" s="50" t="s">
        <v>11</v>
      </c>
      <c r="C28" s="66">
        <v>46269</v>
      </c>
      <c r="D28" s="50">
        <v>12.5</v>
      </c>
      <c r="E28" s="50" t="s">
        <v>213</v>
      </c>
      <c r="F28" s="50" t="s">
        <v>214</v>
      </c>
      <c r="G28" s="50" t="s">
        <v>222</v>
      </c>
    </row>
    <row r="31" spans="1:7" ht="22" x14ac:dyDescent="0.3">
      <c r="A31" s="70" t="s">
        <v>223</v>
      </c>
      <c r="B31" s="50"/>
    </row>
    <row r="32" spans="1:7" x14ac:dyDescent="0.2">
      <c r="A32" s="87" t="s">
        <v>1</v>
      </c>
      <c r="B32" s="87" t="s">
        <v>224</v>
      </c>
    </row>
    <row r="33" spans="1:14" x14ac:dyDescent="0.2">
      <c r="A33" s="86" t="s">
        <v>10</v>
      </c>
      <c r="B33" s="102">
        <v>28.5</v>
      </c>
    </row>
    <row r="34" spans="1:14" x14ac:dyDescent="0.2">
      <c r="A34" s="86" t="s">
        <v>15</v>
      </c>
      <c r="B34" s="102">
        <v>42</v>
      </c>
    </row>
    <row r="35" spans="1:14" x14ac:dyDescent="0.2">
      <c r="A35" s="86" t="s">
        <v>18</v>
      </c>
      <c r="B35" s="102">
        <v>31</v>
      </c>
    </row>
    <row r="36" spans="1:14" x14ac:dyDescent="0.2">
      <c r="A36" s="86" t="s">
        <v>19</v>
      </c>
      <c r="B36" s="102">
        <v>45</v>
      </c>
    </row>
    <row r="37" spans="1:14" x14ac:dyDescent="0.2">
      <c r="A37" s="86" t="s">
        <v>24</v>
      </c>
      <c r="B37" s="102">
        <v>29</v>
      </c>
    </row>
    <row r="38" spans="1:14" x14ac:dyDescent="0.2">
      <c r="A38" s="86" t="s">
        <v>25</v>
      </c>
      <c r="B38" s="86" t="s">
        <v>225</v>
      </c>
    </row>
    <row r="39" spans="1:14" x14ac:dyDescent="0.2">
      <c r="A39" s="86" t="s">
        <v>27</v>
      </c>
      <c r="B39" s="102">
        <v>35</v>
      </c>
      <c r="K39" s="1"/>
      <c r="L39" s="1"/>
      <c r="M39" s="1"/>
      <c r="N39" s="1"/>
    </row>
    <row r="40" spans="1:14" x14ac:dyDescent="0.2">
      <c r="A40" s="86" t="s">
        <v>30</v>
      </c>
      <c r="B40" s="102">
        <v>45</v>
      </c>
      <c r="M40" s="2"/>
      <c r="N40" s="10"/>
    </row>
    <row r="41" spans="1:14" x14ac:dyDescent="0.2">
      <c r="A41" s="86" t="s">
        <v>33</v>
      </c>
      <c r="B41" s="102">
        <v>50</v>
      </c>
      <c r="M41" s="2"/>
      <c r="N41" s="10"/>
    </row>
    <row r="42" spans="1:14" x14ac:dyDescent="0.2">
      <c r="A42" s="86" t="s">
        <v>31</v>
      </c>
      <c r="B42" s="102">
        <v>30</v>
      </c>
      <c r="K42" s="10"/>
      <c r="M42" s="2"/>
      <c r="N42" s="10"/>
    </row>
    <row r="43" spans="1:14" x14ac:dyDescent="0.2">
      <c r="M43" s="2"/>
      <c r="N43" s="10"/>
    </row>
    <row r="44" spans="1:14" x14ac:dyDescent="0.2">
      <c r="M44" s="2"/>
      <c r="N44" s="10"/>
    </row>
    <row r="45" spans="1:14" ht="19" x14ac:dyDescent="0.25">
      <c r="A45" s="109" t="s">
        <v>226</v>
      </c>
      <c r="N45" s="10"/>
    </row>
    <row r="46" spans="1:14" x14ac:dyDescent="0.2">
      <c r="A46" s="87" t="s">
        <v>18</v>
      </c>
      <c r="J46" s="22"/>
      <c r="K46" s="10"/>
      <c r="M46" s="2"/>
      <c r="N46" s="10"/>
    </row>
    <row r="47" spans="1:14" ht="51" x14ac:dyDescent="0.2">
      <c r="A47" s="107" t="s">
        <v>227</v>
      </c>
      <c r="M47" s="2"/>
      <c r="N47" s="10"/>
    </row>
    <row r="48" spans="1:14" x14ac:dyDescent="0.2">
      <c r="A48" s="87" t="s">
        <v>27</v>
      </c>
      <c r="M48" s="2"/>
      <c r="N48" s="10"/>
    </row>
    <row r="49" spans="1:14" ht="34" x14ac:dyDescent="0.2">
      <c r="A49" s="107" t="s">
        <v>228</v>
      </c>
      <c r="K49" s="10"/>
      <c r="M49" s="2"/>
      <c r="N49" s="10"/>
    </row>
    <row r="50" spans="1:14" ht="17" x14ac:dyDescent="0.2">
      <c r="A50" s="108" t="s">
        <v>31</v>
      </c>
    </row>
    <row r="51" spans="1:14" ht="51" x14ac:dyDescent="0.2">
      <c r="A51" s="107" t="s">
        <v>229</v>
      </c>
    </row>
    <row r="54" spans="1:14" ht="24" x14ac:dyDescent="0.3">
      <c r="A54" s="58" t="s">
        <v>230</v>
      </c>
      <c r="B54" s="50"/>
    </row>
    <row r="55" spans="1:14" x14ac:dyDescent="0.2">
      <c r="A55" s="86" t="s">
        <v>231</v>
      </c>
      <c r="B55" s="86"/>
    </row>
    <row r="56" spans="1:14" x14ac:dyDescent="0.2">
      <c r="A56" s="87" t="s">
        <v>1</v>
      </c>
      <c r="B56" s="87" t="s">
        <v>232</v>
      </c>
    </row>
    <row r="57" spans="1:14" x14ac:dyDescent="0.2">
      <c r="A57" s="86" t="s">
        <v>19</v>
      </c>
      <c r="B57" s="102">
        <v>45</v>
      </c>
    </row>
    <row r="58" spans="1:14" x14ac:dyDescent="0.2">
      <c r="A58" s="86" t="s">
        <v>233</v>
      </c>
      <c r="B58" s="102">
        <v>0</v>
      </c>
    </row>
    <row r="61" spans="1:14" ht="32" x14ac:dyDescent="0.4">
      <c r="A61" s="40" t="s">
        <v>83</v>
      </c>
      <c r="B61" s="36"/>
      <c r="C61" s="36"/>
      <c r="D61" s="36"/>
      <c r="E61" s="36"/>
      <c r="F61" s="36"/>
      <c r="G61" s="36"/>
    </row>
    <row r="63" spans="1:14" x14ac:dyDescent="0.2">
      <c r="A63" s="38" t="s">
        <v>1</v>
      </c>
      <c r="B63" s="38" t="s">
        <v>234</v>
      </c>
      <c r="C63" s="38" t="s">
        <v>235</v>
      </c>
      <c r="D63" s="38" t="s">
        <v>236</v>
      </c>
      <c r="E63" s="38" t="s">
        <v>237</v>
      </c>
      <c r="F63" s="38" t="s">
        <v>238</v>
      </c>
    </row>
    <row r="64" spans="1:14" ht="34" x14ac:dyDescent="0.2">
      <c r="A64" s="50" t="s">
        <v>10</v>
      </c>
      <c r="B64" s="53" t="s">
        <v>242</v>
      </c>
      <c r="C64" s="50" t="s">
        <v>254</v>
      </c>
      <c r="D64" s="50" t="s">
        <v>218</v>
      </c>
      <c r="E64" s="64">
        <v>28.5</v>
      </c>
      <c r="F64" s="53" t="s">
        <v>509</v>
      </c>
    </row>
    <row r="65" spans="1:7" ht="17" x14ac:dyDescent="0.2">
      <c r="A65" s="50" t="s">
        <v>15</v>
      </c>
      <c r="B65" s="50" t="s">
        <v>247</v>
      </c>
      <c r="C65" s="50" t="s">
        <v>253</v>
      </c>
      <c r="D65" s="50" t="s">
        <v>214</v>
      </c>
      <c r="E65" s="64" t="s">
        <v>240</v>
      </c>
      <c r="F65" s="53" t="s">
        <v>67</v>
      </c>
    </row>
    <row r="66" spans="1:7" ht="40" customHeight="1" x14ac:dyDescent="0.2">
      <c r="A66" s="50" t="s">
        <v>18</v>
      </c>
      <c r="B66" s="53" t="s">
        <v>243</v>
      </c>
      <c r="C66" s="53" t="s">
        <v>250</v>
      </c>
      <c r="D66" s="50" t="s">
        <v>218</v>
      </c>
      <c r="E66" s="64">
        <v>31</v>
      </c>
      <c r="F66" s="53" t="s">
        <v>510</v>
      </c>
    </row>
    <row r="67" spans="1:7" ht="34" x14ac:dyDescent="0.2">
      <c r="A67" s="50" t="s">
        <v>19</v>
      </c>
      <c r="B67" s="53" t="s">
        <v>244</v>
      </c>
      <c r="C67" s="50" t="s">
        <v>212</v>
      </c>
      <c r="D67" s="50" t="s">
        <v>214</v>
      </c>
      <c r="E67" s="64">
        <v>45</v>
      </c>
      <c r="F67" s="53" t="s">
        <v>259</v>
      </c>
    </row>
    <row r="68" spans="1:7" ht="34" x14ac:dyDescent="0.2">
      <c r="A68" s="50" t="s">
        <v>24</v>
      </c>
      <c r="B68" s="65" t="s">
        <v>241</v>
      </c>
      <c r="C68" s="65"/>
      <c r="D68" s="50" t="s">
        <v>218</v>
      </c>
      <c r="E68" s="64">
        <v>29</v>
      </c>
      <c r="F68" s="53" t="s">
        <v>509</v>
      </c>
    </row>
    <row r="69" spans="1:7" ht="34" x14ac:dyDescent="0.2">
      <c r="A69" s="50" t="s">
        <v>25</v>
      </c>
      <c r="B69" s="66" t="s">
        <v>256</v>
      </c>
      <c r="C69" s="53" t="s">
        <v>220</v>
      </c>
      <c r="D69" s="50" t="s">
        <v>218</v>
      </c>
      <c r="E69" s="50" t="s">
        <v>255</v>
      </c>
      <c r="F69" s="53" t="s">
        <v>511</v>
      </c>
    </row>
    <row r="70" spans="1:7" ht="68" x14ac:dyDescent="0.2">
      <c r="A70" s="50" t="s">
        <v>27</v>
      </c>
      <c r="B70" s="67" t="s">
        <v>245</v>
      </c>
      <c r="C70" s="65" t="s">
        <v>251</v>
      </c>
      <c r="D70" s="50" t="s">
        <v>218</v>
      </c>
      <c r="E70" s="64">
        <v>35</v>
      </c>
      <c r="F70" s="53" t="s">
        <v>257</v>
      </c>
    </row>
    <row r="71" spans="1:7" ht="17" x14ac:dyDescent="0.2">
      <c r="A71" s="50" t="s">
        <v>30</v>
      </c>
      <c r="B71" s="50" t="s">
        <v>246</v>
      </c>
      <c r="C71" s="50" t="s">
        <v>253</v>
      </c>
      <c r="D71" s="50" t="s">
        <v>214</v>
      </c>
      <c r="E71" s="64" t="s">
        <v>240</v>
      </c>
      <c r="F71" s="53" t="s">
        <v>67</v>
      </c>
    </row>
    <row r="72" spans="1:7" ht="34" x14ac:dyDescent="0.2">
      <c r="A72" s="50" t="s">
        <v>33</v>
      </c>
      <c r="B72" s="53" t="s">
        <v>248</v>
      </c>
      <c r="C72" s="50" t="s">
        <v>254</v>
      </c>
      <c r="D72" s="50" t="s">
        <v>218</v>
      </c>
      <c r="E72" s="64">
        <v>50</v>
      </c>
      <c r="F72" s="53" t="s">
        <v>509</v>
      </c>
    </row>
    <row r="73" spans="1:7" ht="68" x14ac:dyDescent="0.2">
      <c r="A73" s="50" t="s">
        <v>31</v>
      </c>
      <c r="B73" s="53" t="s">
        <v>249</v>
      </c>
      <c r="C73" s="65" t="s">
        <v>252</v>
      </c>
      <c r="D73" s="50" t="s">
        <v>218</v>
      </c>
      <c r="E73" s="64">
        <v>30</v>
      </c>
      <c r="F73" s="53" t="s">
        <v>512</v>
      </c>
    </row>
    <row r="74" spans="1:7" x14ac:dyDescent="0.2">
      <c r="A74" s="50"/>
      <c r="B74" s="50"/>
      <c r="C74" s="50" t="s">
        <v>61</v>
      </c>
      <c r="D74" s="50">
        <f>COUNTIF($D$64:$D$73, "=Yes")</f>
        <v>7</v>
      </c>
      <c r="E74" s="50"/>
      <c r="F74" s="50"/>
    </row>
    <row r="77" spans="1:7" ht="24" x14ac:dyDescent="0.3">
      <c r="A77" s="44" t="s">
        <v>84</v>
      </c>
      <c r="B77" s="36"/>
      <c r="C77" s="36"/>
      <c r="D77" s="36"/>
      <c r="E77" s="36"/>
      <c r="F77" s="36"/>
      <c r="G77" s="36"/>
    </row>
    <row r="78" spans="1:7" ht="22" x14ac:dyDescent="0.2">
      <c r="A78" s="75" t="s">
        <v>480</v>
      </c>
      <c r="B78" s="75"/>
    </row>
    <row r="79" spans="1:7" x14ac:dyDescent="0.2">
      <c r="A79" t="s">
        <v>134</v>
      </c>
    </row>
    <row r="80" spans="1:7" x14ac:dyDescent="0.2">
      <c r="A80" s="17" t="s">
        <v>239</v>
      </c>
    </row>
    <row r="82" spans="1:4" ht="36" customHeight="1" x14ac:dyDescent="0.2">
      <c r="A82" s="27" t="s">
        <v>258</v>
      </c>
      <c r="B82" s="27"/>
    </row>
    <row r="83" spans="1:4" x14ac:dyDescent="0.2">
      <c r="A83" s="4" t="s">
        <v>260</v>
      </c>
    </row>
    <row r="84" spans="1:4" x14ac:dyDescent="0.2">
      <c r="A84" s="4" t="s">
        <v>261</v>
      </c>
    </row>
    <row r="85" spans="1:4" ht="16" customHeight="1" x14ac:dyDescent="0.2">
      <c r="A85" s="4" t="s">
        <v>262</v>
      </c>
    </row>
    <row r="86" spans="1:4" x14ac:dyDescent="0.2">
      <c r="A86" s="4" t="s">
        <v>263</v>
      </c>
    </row>
    <row r="87" spans="1:4" x14ac:dyDescent="0.2">
      <c r="A87" s="4" t="s">
        <v>264</v>
      </c>
    </row>
    <row r="88" spans="1:4" x14ac:dyDescent="0.2">
      <c r="A88" s="4" t="s">
        <v>513</v>
      </c>
    </row>
    <row r="89" spans="1:4" x14ac:dyDescent="0.2">
      <c r="A89" t="s">
        <v>265</v>
      </c>
    </row>
    <row r="90" spans="1:4" x14ac:dyDescent="0.2">
      <c r="A90" t="s">
        <v>267</v>
      </c>
    </row>
    <row r="91" spans="1:4" ht="24" x14ac:dyDescent="0.3">
      <c r="D91" s="3"/>
    </row>
    <row r="92" spans="1:4" ht="57" customHeight="1" x14ac:dyDescent="0.3">
      <c r="A92" s="27" t="s">
        <v>508</v>
      </c>
      <c r="B92" s="27"/>
      <c r="D92" s="3"/>
    </row>
    <row r="93" spans="1:4" ht="56" customHeight="1" x14ac:dyDescent="0.2">
      <c r="A93" s="27" t="s">
        <v>269</v>
      </c>
      <c r="B93" s="27"/>
    </row>
    <row r="94" spans="1:4" ht="22" x14ac:dyDescent="0.2">
      <c r="A94" s="72" t="s">
        <v>479</v>
      </c>
      <c r="B94" s="72"/>
    </row>
    <row r="95" spans="1:4" x14ac:dyDescent="0.2">
      <c r="D95" s="17"/>
    </row>
    <row r="96" spans="1:4" ht="90" customHeight="1" x14ac:dyDescent="0.2">
      <c r="A96" s="27" t="s">
        <v>268</v>
      </c>
      <c r="B96" s="27"/>
    </row>
    <row r="97" spans="1:4" ht="34" customHeight="1" x14ac:dyDescent="0.2">
      <c r="A97" s="27" t="s">
        <v>266</v>
      </c>
      <c r="B97" s="27"/>
      <c r="D97" s="10"/>
    </row>
    <row r="102" spans="1:4" x14ac:dyDescent="0.2">
      <c r="D102" s="10"/>
    </row>
  </sheetData>
  <mergeCells count="8">
    <mergeCell ref="A78:B78"/>
    <mergeCell ref="A94:B94"/>
    <mergeCell ref="A97:B97"/>
    <mergeCell ref="A96:B96"/>
    <mergeCell ref="A92:B92"/>
    <mergeCell ref="A93:B93"/>
    <mergeCell ref="A82:B82"/>
    <mergeCell ref="A5:B5"/>
  </mergeCells>
  <conditionalFormatting sqref="D19:D28">
    <cfRule type="cellIs" dxfId="53" priority="2" operator="greaterThan">
      <formula>8</formula>
    </cfRule>
  </conditionalFormatting>
  <conditionalFormatting sqref="F19:F28">
    <cfRule type="containsText" dxfId="52" priority="1" operator="containsText" text="Yes">
      <formula>NOT(ISERROR(SEARCH("Yes",F19)))</formula>
    </cfRule>
  </conditionalFormatting>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39A8F-0AF3-B64D-8848-9622BAFA479C}">
  <dimension ref="A1:H93"/>
  <sheetViews>
    <sheetView zoomScale="75" zoomScaleNormal="100" workbookViewId="0"/>
  </sheetViews>
  <sheetFormatPr baseColWidth="10" defaultRowHeight="16" x14ac:dyDescent="0.2"/>
  <cols>
    <col min="1" max="1" width="64.6640625" customWidth="1"/>
    <col min="2" max="2" width="14.5" customWidth="1"/>
    <col min="3" max="3" width="28.6640625" customWidth="1"/>
    <col min="4" max="4" width="16.6640625" customWidth="1"/>
    <col min="5" max="5" width="34.6640625" customWidth="1"/>
    <col min="6" max="6" width="19.6640625" bestFit="1" customWidth="1"/>
    <col min="7" max="7" width="30.83203125" customWidth="1"/>
    <col min="8" max="8" width="36.5" customWidth="1"/>
  </cols>
  <sheetData>
    <row r="1" spans="1:8" ht="24" x14ac:dyDescent="0.3">
      <c r="A1" s="44" t="s">
        <v>188</v>
      </c>
      <c r="B1" s="36"/>
      <c r="C1" s="36"/>
      <c r="D1" s="36"/>
      <c r="E1" s="36"/>
      <c r="F1" s="36"/>
      <c r="G1" s="36"/>
      <c r="H1" s="36"/>
    </row>
    <row r="2" spans="1:8" x14ac:dyDescent="0.2">
      <c r="A2" s="17" t="s">
        <v>270</v>
      </c>
    </row>
    <row r="3" spans="1:8" x14ac:dyDescent="0.2">
      <c r="A3" s="1" t="s">
        <v>37</v>
      </c>
    </row>
    <row r="4" spans="1:8" x14ac:dyDescent="0.2">
      <c r="A4" s="1" t="s">
        <v>271</v>
      </c>
    </row>
    <row r="5" spans="1:8" ht="24" x14ac:dyDescent="0.3">
      <c r="A5" t="s">
        <v>38</v>
      </c>
      <c r="E5" s="51" t="s">
        <v>95</v>
      </c>
    </row>
    <row r="6" spans="1:8" ht="36" customHeight="1" x14ac:dyDescent="0.2">
      <c r="A6" s="47" t="s">
        <v>272</v>
      </c>
      <c r="B6" s="47"/>
      <c r="E6" s="55" t="s">
        <v>277</v>
      </c>
    </row>
    <row r="7" spans="1:8" ht="39" customHeight="1" x14ac:dyDescent="0.2">
      <c r="A7" s="47" t="s">
        <v>273</v>
      </c>
      <c r="B7" s="47"/>
      <c r="E7" s="55" t="s">
        <v>278</v>
      </c>
    </row>
    <row r="8" spans="1:8" ht="47" customHeight="1" x14ac:dyDescent="0.2">
      <c r="A8" s="47" t="s">
        <v>274</v>
      </c>
      <c r="B8" s="47"/>
      <c r="E8" s="55" t="s">
        <v>279</v>
      </c>
    </row>
    <row r="9" spans="1:8" ht="34" x14ac:dyDescent="0.2">
      <c r="A9" s="48" t="s">
        <v>275</v>
      </c>
      <c r="B9" s="48"/>
      <c r="E9" s="55" t="s">
        <v>280</v>
      </c>
    </row>
    <row r="10" spans="1:8" ht="34" customHeight="1" x14ac:dyDescent="0.2">
      <c r="A10" s="47" t="s">
        <v>276</v>
      </c>
      <c r="B10" s="47"/>
      <c r="E10" s="48" t="s">
        <v>281</v>
      </c>
    </row>
    <row r="11" spans="1:8" x14ac:dyDescent="0.2">
      <c r="A11" t="s">
        <v>40</v>
      </c>
    </row>
    <row r="12" spans="1:8" x14ac:dyDescent="0.2">
      <c r="A12" t="s">
        <v>41</v>
      </c>
    </row>
    <row r="14" spans="1:8" ht="24" x14ac:dyDescent="0.3">
      <c r="A14" s="44" t="s">
        <v>82</v>
      </c>
      <c r="B14" s="44"/>
      <c r="C14" s="44"/>
      <c r="D14" s="44"/>
      <c r="E14" s="44"/>
      <c r="F14" s="44"/>
      <c r="G14" s="44"/>
      <c r="H14" s="36"/>
    </row>
    <row r="15" spans="1:8" ht="22" x14ac:dyDescent="0.3">
      <c r="A15" s="70" t="s">
        <v>282</v>
      </c>
      <c r="B15" s="50"/>
      <c r="C15" s="50"/>
    </row>
    <row r="16" spans="1:8" x14ac:dyDescent="0.2">
      <c r="A16" s="38" t="s">
        <v>1</v>
      </c>
      <c r="B16" s="38" t="s">
        <v>283</v>
      </c>
      <c r="C16" s="38" t="s">
        <v>284</v>
      </c>
    </row>
    <row r="17" spans="1:8" x14ac:dyDescent="0.2">
      <c r="A17" s="50" t="s">
        <v>10</v>
      </c>
      <c r="B17" s="52">
        <v>59280</v>
      </c>
      <c r="C17" s="52">
        <v>6000</v>
      </c>
    </row>
    <row r="18" spans="1:8" x14ac:dyDescent="0.2">
      <c r="A18" s="50" t="s">
        <v>18</v>
      </c>
      <c r="B18" s="52">
        <v>64480</v>
      </c>
      <c r="C18" s="52">
        <v>8000</v>
      </c>
    </row>
    <row r="19" spans="1:8" x14ac:dyDescent="0.2">
      <c r="A19" s="50" t="s">
        <v>19</v>
      </c>
      <c r="B19" s="52">
        <v>93600</v>
      </c>
      <c r="C19" s="52">
        <v>12000</v>
      </c>
    </row>
    <row r="20" spans="1:8" x14ac:dyDescent="0.2">
      <c r="A20" s="50" t="s">
        <v>27</v>
      </c>
      <c r="B20" s="52">
        <v>72800</v>
      </c>
      <c r="C20" s="52">
        <v>5000</v>
      </c>
    </row>
    <row r="21" spans="1:8" x14ac:dyDescent="0.2">
      <c r="A21" s="50" t="s">
        <v>33</v>
      </c>
      <c r="B21" s="52">
        <v>104000</v>
      </c>
      <c r="C21" s="52">
        <v>18000</v>
      </c>
    </row>
    <row r="22" spans="1:8" x14ac:dyDescent="0.2">
      <c r="A22" s="50" t="s">
        <v>31</v>
      </c>
      <c r="B22" s="52">
        <v>62400</v>
      </c>
      <c r="C22" s="52">
        <v>7500</v>
      </c>
    </row>
    <row r="25" spans="1:8" ht="22" x14ac:dyDescent="0.3">
      <c r="A25" s="70" t="s">
        <v>285</v>
      </c>
      <c r="B25" s="50"/>
      <c r="C25" s="50"/>
      <c r="D25" s="50"/>
      <c r="E25" s="50"/>
      <c r="F25" s="50"/>
      <c r="G25" s="50"/>
      <c r="H25" s="50"/>
    </row>
    <row r="26" spans="1:8" x14ac:dyDescent="0.2">
      <c r="A26" s="38" t="s">
        <v>1</v>
      </c>
      <c r="B26" s="38" t="s">
        <v>284</v>
      </c>
      <c r="C26" s="38" t="s">
        <v>286</v>
      </c>
      <c r="D26" s="38" t="s">
        <v>287</v>
      </c>
      <c r="E26" s="38" t="s">
        <v>288</v>
      </c>
      <c r="F26" s="38" t="s">
        <v>289</v>
      </c>
      <c r="G26" s="38" t="s">
        <v>290</v>
      </c>
      <c r="H26" s="38" t="s">
        <v>291</v>
      </c>
    </row>
    <row r="27" spans="1:8" x14ac:dyDescent="0.2">
      <c r="A27" s="50" t="s">
        <v>10</v>
      </c>
      <c r="B27" s="52">
        <v>6000</v>
      </c>
      <c r="C27" s="52">
        <v>1320</v>
      </c>
      <c r="D27" s="52">
        <v>600</v>
      </c>
      <c r="E27" s="52">
        <v>372</v>
      </c>
      <c r="F27" s="52">
        <v>87</v>
      </c>
      <c r="G27" s="52">
        <v>0</v>
      </c>
      <c r="H27" s="52">
        <v>3621</v>
      </c>
    </row>
    <row r="28" spans="1:8" x14ac:dyDescent="0.2">
      <c r="A28" s="50" t="s">
        <v>18</v>
      </c>
      <c r="B28" s="52">
        <v>8000</v>
      </c>
      <c r="C28" s="52">
        <v>1760</v>
      </c>
      <c r="D28" s="52">
        <v>800</v>
      </c>
      <c r="E28" s="52">
        <v>496</v>
      </c>
      <c r="F28" s="52">
        <v>116</v>
      </c>
      <c r="G28" s="52">
        <v>0</v>
      </c>
      <c r="H28" s="52">
        <v>4828</v>
      </c>
    </row>
    <row r="29" spans="1:8" x14ac:dyDescent="0.2">
      <c r="A29" s="50" t="s">
        <v>19</v>
      </c>
      <c r="B29" s="52">
        <v>12000</v>
      </c>
      <c r="C29" s="52">
        <v>2640</v>
      </c>
      <c r="D29" s="52">
        <v>1200</v>
      </c>
      <c r="E29" s="52">
        <v>744</v>
      </c>
      <c r="F29" s="52">
        <v>174</v>
      </c>
      <c r="G29" s="52">
        <v>500</v>
      </c>
      <c r="H29" s="52">
        <v>6742</v>
      </c>
    </row>
    <row r="30" spans="1:8" x14ac:dyDescent="0.2">
      <c r="A30" s="50" t="s">
        <v>27</v>
      </c>
      <c r="B30" s="52">
        <v>5000</v>
      </c>
      <c r="C30" s="52">
        <v>1100</v>
      </c>
      <c r="D30" s="52">
        <v>500</v>
      </c>
      <c r="E30" s="52">
        <v>310</v>
      </c>
      <c r="F30" s="52">
        <v>73</v>
      </c>
      <c r="G30" s="52">
        <v>0</v>
      </c>
      <c r="H30" s="52">
        <v>3017</v>
      </c>
    </row>
    <row r="31" spans="1:8" x14ac:dyDescent="0.2">
      <c r="A31" s="50" t="s">
        <v>33</v>
      </c>
      <c r="B31" s="52">
        <v>18000</v>
      </c>
      <c r="C31" s="52">
        <v>3960</v>
      </c>
      <c r="D31" s="52">
        <v>1800</v>
      </c>
      <c r="E31" s="52">
        <v>1116</v>
      </c>
      <c r="F31" s="52">
        <v>261</v>
      </c>
      <c r="G31" s="52">
        <v>1200</v>
      </c>
      <c r="H31" s="52">
        <v>9663</v>
      </c>
    </row>
    <row r="32" spans="1:8" x14ac:dyDescent="0.2">
      <c r="A32" s="50" t="s">
        <v>31</v>
      </c>
      <c r="B32" s="52">
        <v>7500</v>
      </c>
      <c r="C32" s="52">
        <v>1650</v>
      </c>
      <c r="D32" s="52">
        <v>750</v>
      </c>
      <c r="E32" s="52">
        <v>465</v>
      </c>
      <c r="F32" s="52">
        <v>109</v>
      </c>
      <c r="G32" s="52">
        <v>0</v>
      </c>
      <c r="H32" s="52">
        <v>4526</v>
      </c>
    </row>
    <row r="35" spans="1:1" ht="22" x14ac:dyDescent="0.3">
      <c r="A35" s="70" t="s">
        <v>292</v>
      </c>
    </row>
    <row r="36" spans="1:1" ht="19" x14ac:dyDescent="0.25">
      <c r="A36" s="91" t="s">
        <v>293</v>
      </c>
    </row>
    <row r="37" spans="1:1" ht="34" x14ac:dyDescent="0.2">
      <c r="A37" s="85" t="s">
        <v>294</v>
      </c>
    </row>
    <row r="38" spans="1:1" x14ac:dyDescent="0.2">
      <c r="A38" s="86"/>
    </row>
    <row r="39" spans="1:1" ht="19" x14ac:dyDescent="0.25">
      <c r="A39" s="91" t="s">
        <v>295</v>
      </c>
    </row>
    <row r="40" spans="1:1" ht="34" x14ac:dyDescent="0.2">
      <c r="A40" s="85" t="s">
        <v>296</v>
      </c>
    </row>
    <row r="43" spans="1:1" ht="22" x14ac:dyDescent="0.3">
      <c r="A43" s="70" t="s">
        <v>297</v>
      </c>
    </row>
    <row r="44" spans="1:1" x14ac:dyDescent="0.2">
      <c r="A44" s="86" t="s">
        <v>298</v>
      </c>
    </row>
    <row r="45" spans="1:1" x14ac:dyDescent="0.2">
      <c r="A45" s="86" t="s">
        <v>299</v>
      </c>
    </row>
    <row r="46" spans="1:1" x14ac:dyDescent="0.2">
      <c r="A46" s="86" t="s">
        <v>300</v>
      </c>
    </row>
    <row r="47" spans="1:1" ht="34" x14ac:dyDescent="0.2">
      <c r="A47" s="85" t="s">
        <v>301</v>
      </c>
    </row>
    <row r="48" spans="1:1" ht="34" x14ac:dyDescent="0.2">
      <c r="A48" s="85" t="s">
        <v>302</v>
      </c>
    </row>
    <row r="51" spans="1:8" ht="24" x14ac:dyDescent="0.3">
      <c r="A51" s="44" t="s">
        <v>83</v>
      </c>
      <c r="B51" s="44"/>
      <c r="C51" s="44"/>
      <c r="D51" s="44"/>
      <c r="E51" s="44"/>
      <c r="F51" s="44"/>
      <c r="G51" s="44"/>
      <c r="H51" s="36"/>
    </row>
    <row r="52" spans="1:8" ht="17" customHeight="1" x14ac:dyDescent="0.3">
      <c r="A52" s="41"/>
    </row>
    <row r="53" spans="1:8" x14ac:dyDescent="0.2">
      <c r="A53" s="38" t="s">
        <v>1</v>
      </c>
      <c r="B53" s="38" t="s">
        <v>284</v>
      </c>
      <c r="C53" s="38" t="s">
        <v>303</v>
      </c>
      <c r="D53" s="38" t="s">
        <v>291</v>
      </c>
      <c r="E53" s="38" t="s">
        <v>304</v>
      </c>
      <c r="F53" s="38" t="s">
        <v>305</v>
      </c>
      <c r="G53" s="38" t="s">
        <v>238</v>
      </c>
      <c r="H53" s="38" t="s">
        <v>310</v>
      </c>
    </row>
    <row r="54" spans="1:8" x14ac:dyDescent="0.2">
      <c r="A54" s="50" t="s">
        <v>10</v>
      </c>
      <c r="B54" s="52">
        <v>6000</v>
      </c>
      <c r="C54" s="52">
        <f>SUM(C27:G27)</f>
        <v>2379</v>
      </c>
      <c r="D54" s="52">
        <v>3621</v>
      </c>
      <c r="E54" s="15">
        <f>D54/B54</f>
        <v>0.60350000000000004</v>
      </c>
      <c r="F54" s="50" t="s">
        <v>308</v>
      </c>
      <c r="G54" s="53"/>
      <c r="H54" s="52">
        <f>C54+D54</f>
        <v>6000</v>
      </c>
    </row>
    <row r="55" spans="1:8" x14ac:dyDescent="0.2">
      <c r="A55" s="50" t="s">
        <v>18</v>
      </c>
      <c r="B55" s="52">
        <v>8000</v>
      </c>
      <c r="C55" s="52">
        <f>SUM(C28:G28)</f>
        <v>3172</v>
      </c>
      <c r="D55" s="52">
        <v>4828</v>
      </c>
      <c r="E55" s="15">
        <f t="shared" ref="E55:E59" si="0">D55/B55</f>
        <v>0.60350000000000004</v>
      </c>
      <c r="F55" s="50" t="s">
        <v>308</v>
      </c>
      <c r="G55" s="53"/>
      <c r="H55" s="52">
        <f t="shared" ref="H55:H59" si="1">C55+D55</f>
        <v>8000</v>
      </c>
    </row>
    <row r="56" spans="1:8" ht="34" x14ac:dyDescent="0.2">
      <c r="A56" s="50" t="s">
        <v>19</v>
      </c>
      <c r="B56" s="52">
        <v>12000</v>
      </c>
      <c r="C56" s="52">
        <f>SUM(C29:G29)</f>
        <v>5258</v>
      </c>
      <c r="D56" s="52">
        <v>6742</v>
      </c>
      <c r="E56" s="15">
        <f t="shared" si="0"/>
        <v>0.5618333333333333</v>
      </c>
      <c r="F56" s="50" t="s">
        <v>309</v>
      </c>
      <c r="G56" s="54" t="s">
        <v>482</v>
      </c>
      <c r="H56" s="52">
        <f t="shared" si="1"/>
        <v>12000</v>
      </c>
    </row>
    <row r="57" spans="1:8" x14ac:dyDescent="0.2">
      <c r="A57" s="50" t="s">
        <v>27</v>
      </c>
      <c r="B57" s="52">
        <v>5000</v>
      </c>
      <c r="C57" s="52">
        <f>SUM(C30:G30)</f>
        <v>1983</v>
      </c>
      <c r="D57" s="52">
        <v>3017</v>
      </c>
      <c r="E57" s="15">
        <f t="shared" si="0"/>
        <v>0.60340000000000005</v>
      </c>
      <c r="F57" s="50" t="s">
        <v>308</v>
      </c>
      <c r="G57" s="53"/>
      <c r="H57" s="52">
        <f t="shared" si="1"/>
        <v>5000</v>
      </c>
    </row>
    <row r="58" spans="1:8" ht="34" x14ac:dyDescent="0.2">
      <c r="A58" s="50" t="s">
        <v>33</v>
      </c>
      <c r="B58" s="52">
        <v>18000</v>
      </c>
      <c r="C58" s="52">
        <f>SUM(C31:G31)</f>
        <v>8337</v>
      </c>
      <c r="D58" s="52">
        <v>9663</v>
      </c>
      <c r="E58" s="15">
        <f t="shared" si="0"/>
        <v>0.53683333333333338</v>
      </c>
      <c r="F58" s="50" t="s">
        <v>309</v>
      </c>
      <c r="G58" s="53" t="s">
        <v>482</v>
      </c>
      <c r="H58" s="52">
        <f t="shared" si="1"/>
        <v>18000</v>
      </c>
    </row>
    <row r="59" spans="1:8" x14ac:dyDescent="0.2">
      <c r="A59" s="50" t="s">
        <v>31</v>
      </c>
      <c r="B59" s="52">
        <v>7500</v>
      </c>
      <c r="C59" s="52">
        <f>SUM(C32:G32)</f>
        <v>2974</v>
      </c>
      <c r="D59" s="52">
        <v>4526</v>
      </c>
      <c r="E59" s="15">
        <f t="shared" si="0"/>
        <v>0.60346666666666671</v>
      </c>
      <c r="F59" s="50" t="s">
        <v>308</v>
      </c>
      <c r="G59" s="53"/>
      <c r="H59" s="52">
        <f t="shared" si="1"/>
        <v>7500</v>
      </c>
    </row>
    <row r="62" spans="1:8" ht="24" x14ac:dyDescent="0.3">
      <c r="A62" s="44" t="s">
        <v>84</v>
      </c>
      <c r="B62" s="44"/>
      <c r="C62" s="44"/>
      <c r="D62" s="44"/>
      <c r="E62" s="44"/>
      <c r="F62" s="44"/>
      <c r="G62" s="44"/>
      <c r="H62" s="36"/>
    </row>
    <row r="63" spans="1:8" ht="22" x14ac:dyDescent="0.2">
      <c r="A63" s="72" t="s">
        <v>481</v>
      </c>
      <c r="B63" s="72"/>
    </row>
    <row r="64" spans="1:8" x14ac:dyDescent="0.2">
      <c r="A64" t="s">
        <v>306</v>
      </c>
    </row>
    <row r="65" spans="1:2" x14ac:dyDescent="0.2">
      <c r="A65" t="s">
        <v>307</v>
      </c>
    </row>
    <row r="66" spans="1:2" ht="51" customHeight="1" x14ac:dyDescent="0.2">
      <c r="A66" s="27" t="s">
        <v>514</v>
      </c>
      <c r="B66" s="27"/>
    </row>
    <row r="67" spans="1:2" ht="72" customHeight="1" x14ac:dyDescent="0.2">
      <c r="A67" s="27" t="s">
        <v>515</v>
      </c>
      <c r="B67" s="27"/>
    </row>
    <row r="69" spans="1:2" ht="22" x14ac:dyDescent="0.2">
      <c r="A69" s="120" t="s">
        <v>374</v>
      </c>
      <c r="B69" s="74"/>
    </row>
    <row r="70" spans="1:2" ht="55" customHeight="1" x14ac:dyDescent="0.2">
      <c r="A70" s="27" t="s">
        <v>516</v>
      </c>
      <c r="B70" s="27"/>
    </row>
    <row r="71" spans="1:2" ht="58" customHeight="1" x14ac:dyDescent="0.2">
      <c r="A71" s="27" t="s">
        <v>311</v>
      </c>
      <c r="B71" s="27"/>
    </row>
    <row r="72" spans="1:2" ht="34" customHeight="1" x14ac:dyDescent="0.2">
      <c r="A72" s="27" t="s">
        <v>517</v>
      </c>
      <c r="B72" s="27"/>
    </row>
    <row r="85" spans="5:5" ht="19" x14ac:dyDescent="0.25">
      <c r="E85" s="6"/>
    </row>
    <row r="86" spans="5:5" ht="19" x14ac:dyDescent="0.25">
      <c r="E86" s="6"/>
    </row>
    <row r="87" spans="5:5" ht="19" x14ac:dyDescent="0.25">
      <c r="E87" s="6"/>
    </row>
    <row r="88" spans="5:5" x14ac:dyDescent="0.2">
      <c r="E88" s="10"/>
    </row>
    <row r="89" spans="5:5" x14ac:dyDescent="0.2">
      <c r="E89" s="10"/>
    </row>
    <row r="91" spans="5:5" x14ac:dyDescent="0.2">
      <c r="E91" s="10"/>
    </row>
    <row r="92" spans="5:5" x14ac:dyDescent="0.2">
      <c r="E92" s="10"/>
    </row>
    <row r="93" spans="5:5" x14ac:dyDescent="0.2">
      <c r="E93" s="10"/>
    </row>
  </sheetData>
  <mergeCells count="11">
    <mergeCell ref="A72:B72"/>
    <mergeCell ref="A69:B69"/>
    <mergeCell ref="A66:B66"/>
    <mergeCell ref="A67:B67"/>
    <mergeCell ref="A70:B70"/>
    <mergeCell ref="A71:B71"/>
    <mergeCell ref="A6:B6"/>
    <mergeCell ref="A7:B7"/>
    <mergeCell ref="A8:B8"/>
    <mergeCell ref="A10:B10"/>
    <mergeCell ref="A63:B63"/>
  </mergeCells>
  <conditionalFormatting sqref="H54:H59">
    <cfRule type="expression" dxfId="22" priority="1">
      <formula>H54&lt;&gt;B54</formula>
    </cfRule>
  </conditionalFormatting>
  <conditionalFormatting sqref="F54:F59">
    <cfRule type="containsText" dxfId="21" priority="2" operator="containsText" text="additional">
      <formula>NOT(ISERROR(SEARCH("additional",F54)))</formula>
    </cfRule>
  </conditionalFormatting>
  <pageMargins left="0.7" right="0.7" top="0.75" bottom="0.75" header="0.3" footer="0.3"/>
  <tableParts count="3">
    <tablePart r:id="rId1"/>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6AF80-B6E6-0346-BB07-9B5A7AF2364C}">
  <dimension ref="A1:M105"/>
  <sheetViews>
    <sheetView zoomScaleNormal="100" workbookViewId="0"/>
  </sheetViews>
  <sheetFormatPr baseColWidth="10" defaultRowHeight="16" x14ac:dyDescent="0.2"/>
  <cols>
    <col min="1" max="1" width="53.5" customWidth="1"/>
    <col min="2" max="2" width="17" bestFit="1" customWidth="1"/>
    <col min="3" max="3" width="34.33203125" bestFit="1" customWidth="1"/>
    <col min="4" max="4" width="12.1640625" bestFit="1" customWidth="1"/>
    <col min="5" max="5" width="11.33203125" bestFit="1" customWidth="1"/>
    <col min="6" max="6" width="15.83203125" bestFit="1" customWidth="1"/>
    <col min="8" max="8" width="31" bestFit="1" customWidth="1"/>
    <col min="9" max="9" width="17" bestFit="1" customWidth="1"/>
    <col min="10" max="10" width="12.6640625" bestFit="1" customWidth="1"/>
    <col min="11" max="11" width="12.1640625" bestFit="1" customWidth="1"/>
  </cols>
  <sheetData>
    <row r="1" spans="1:13" ht="24" x14ac:dyDescent="0.3">
      <c r="A1" s="44" t="s">
        <v>188</v>
      </c>
      <c r="B1" s="36"/>
      <c r="C1" s="36"/>
      <c r="D1" s="36"/>
      <c r="E1" s="36"/>
      <c r="F1" s="36"/>
      <c r="G1" s="36"/>
      <c r="H1" s="36"/>
      <c r="I1" s="36"/>
      <c r="J1" s="36"/>
      <c r="K1" s="36"/>
      <c r="L1" s="36"/>
      <c r="M1" s="36"/>
    </row>
    <row r="2" spans="1:13" x14ac:dyDescent="0.2">
      <c r="A2" s="17" t="s">
        <v>312</v>
      </c>
    </row>
    <row r="3" spans="1:13" x14ac:dyDescent="0.2">
      <c r="A3" s="1" t="s">
        <v>37</v>
      </c>
    </row>
    <row r="4" spans="1:13" x14ac:dyDescent="0.2">
      <c r="A4" s="1" t="s">
        <v>313</v>
      </c>
      <c r="I4" s="50"/>
      <c r="J4" s="50"/>
      <c r="K4" s="50"/>
      <c r="L4" s="50"/>
      <c r="M4" s="50"/>
    </row>
    <row r="5" spans="1:13" x14ac:dyDescent="0.2">
      <c r="A5" t="s">
        <v>38</v>
      </c>
      <c r="I5" s="50"/>
      <c r="J5" s="50"/>
      <c r="K5" s="50"/>
      <c r="L5" s="50"/>
      <c r="M5" s="50"/>
    </row>
    <row r="6" spans="1:13" ht="39" customHeight="1" x14ac:dyDescent="0.3">
      <c r="A6" s="47" t="s">
        <v>314</v>
      </c>
      <c r="B6" s="47"/>
      <c r="C6" s="47"/>
      <c r="D6" s="47"/>
      <c r="E6" s="56"/>
      <c r="F6" s="57"/>
      <c r="G6" s="58" t="s">
        <v>318</v>
      </c>
      <c r="H6" s="59"/>
    </row>
    <row r="7" spans="1:13" ht="36" customHeight="1" x14ac:dyDescent="0.2">
      <c r="A7" s="47" t="s">
        <v>317</v>
      </c>
      <c r="B7" s="47"/>
      <c r="C7" s="47"/>
      <c r="D7" s="47"/>
      <c r="E7" s="56"/>
      <c r="F7" s="56"/>
      <c r="G7" s="50" t="s">
        <v>319</v>
      </c>
      <c r="H7" s="50"/>
    </row>
    <row r="8" spans="1:13" ht="57" customHeight="1" x14ac:dyDescent="0.2">
      <c r="A8" s="47" t="s">
        <v>316</v>
      </c>
      <c r="B8" s="47"/>
      <c r="C8" s="47"/>
      <c r="D8" s="47"/>
      <c r="E8" s="56"/>
      <c r="F8" s="56"/>
      <c r="G8" s="60" t="s">
        <v>320</v>
      </c>
      <c r="H8" s="60"/>
      <c r="I8" s="60"/>
      <c r="J8" s="60"/>
      <c r="K8" s="61"/>
      <c r="L8" s="61"/>
      <c r="M8" s="61"/>
    </row>
    <row r="9" spans="1:13" ht="20" customHeight="1" x14ac:dyDescent="0.2">
      <c r="A9" s="49" t="s">
        <v>315</v>
      </c>
      <c r="B9" s="49"/>
      <c r="C9" s="49"/>
      <c r="D9" s="49"/>
      <c r="E9" s="56"/>
      <c r="F9" s="56"/>
    </row>
    <row r="10" spans="1:13" x14ac:dyDescent="0.2">
      <c r="A10" t="s">
        <v>40</v>
      </c>
      <c r="B10" s="19"/>
      <c r="C10" s="19"/>
      <c r="D10" s="19"/>
      <c r="E10" s="19"/>
      <c r="F10" s="19"/>
    </row>
    <row r="11" spans="1:13" x14ac:dyDescent="0.2">
      <c r="A11" t="s">
        <v>41</v>
      </c>
    </row>
    <row r="14" spans="1:13" ht="24" x14ac:dyDescent="0.3">
      <c r="A14" s="44" t="s">
        <v>82</v>
      </c>
      <c r="B14" s="36"/>
      <c r="C14" s="36"/>
      <c r="D14" s="36"/>
      <c r="E14" s="36"/>
      <c r="F14" s="36"/>
      <c r="G14" s="36"/>
      <c r="H14" s="36"/>
      <c r="I14" s="36"/>
      <c r="J14" s="36"/>
      <c r="K14" s="36"/>
      <c r="L14" s="36"/>
      <c r="M14" s="36"/>
    </row>
    <row r="15" spans="1:13" ht="22" x14ac:dyDescent="0.3">
      <c r="A15" s="46" t="s">
        <v>321</v>
      </c>
    </row>
    <row r="16" spans="1:13" x14ac:dyDescent="0.2">
      <c r="A16" s="87" t="s">
        <v>322</v>
      </c>
      <c r="B16" s="86"/>
      <c r="C16" s="86"/>
      <c r="D16" s="86"/>
      <c r="E16" s="86"/>
      <c r="F16" s="86"/>
    </row>
    <row r="17" spans="1:13" x14ac:dyDescent="0.2">
      <c r="A17" s="87" t="s">
        <v>323</v>
      </c>
      <c r="B17" s="86"/>
      <c r="C17" s="86"/>
      <c r="D17" s="86"/>
      <c r="E17" s="86"/>
      <c r="F17" s="86"/>
    </row>
    <row r="18" spans="1:13" x14ac:dyDescent="0.2">
      <c r="A18" s="86"/>
      <c r="B18" s="86"/>
      <c r="C18" s="86"/>
      <c r="D18" s="86"/>
      <c r="E18" s="86"/>
      <c r="F18" s="86"/>
      <c r="M18" s="2"/>
    </row>
    <row r="19" spans="1:13" x14ac:dyDescent="0.2">
      <c r="A19" s="87" t="s">
        <v>209</v>
      </c>
      <c r="B19" s="87" t="s">
        <v>324</v>
      </c>
      <c r="C19" s="87" t="s">
        <v>6</v>
      </c>
      <c r="D19" s="87" t="s">
        <v>7</v>
      </c>
      <c r="E19" s="87" t="s">
        <v>325</v>
      </c>
      <c r="F19" s="87" t="s">
        <v>326</v>
      </c>
    </row>
    <row r="20" spans="1:13" x14ac:dyDescent="0.2">
      <c r="A20" s="103">
        <v>46286</v>
      </c>
      <c r="B20" s="86" t="s">
        <v>327</v>
      </c>
      <c r="C20" s="86">
        <v>8</v>
      </c>
      <c r="D20" s="86">
        <v>0</v>
      </c>
      <c r="E20" s="86">
        <v>8</v>
      </c>
      <c r="F20" s="86" t="s">
        <v>218</v>
      </c>
    </row>
    <row r="21" spans="1:13" x14ac:dyDescent="0.2">
      <c r="A21" s="103">
        <v>46287</v>
      </c>
      <c r="B21" s="86" t="s">
        <v>328</v>
      </c>
      <c r="C21" s="86">
        <v>8</v>
      </c>
      <c r="D21" s="86">
        <v>0</v>
      </c>
      <c r="E21" s="86">
        <v>8</v>
      </c>
      <c r="F21" s="86" t="s">
        <v>218</v>
      </c>
    </row>
    <row r="22" spans="1:13" x14ac:dyDescent="0.2">
      <c r="A22" s="103">
        <v>46288</v>
      </c>
      <c r="B22" s="86" t="s">
        <v>329</v>
      </c>
      <c r="C22" s="86">
        <v>8</v>
      </c>
      <c r="D22" s="86">
        <v>0</v>
      </c>
      <c r="E22" s="86">
        <v>8</v>
      </c>
      <c r="F22" s="86" t="s">
        <v>218</v>
      </c>
    </row>
    <row r="23" spans="1:13" ht="37" customHeight="1" x14ac:dyDescent="0.2">
      <c r="A23" s="103">
        <v>46289</v>
      </c>
      <c r="B23" s="86" t="s">
        <v>330</v>
      </c>
      <c r="C23" s="86">
        <v>8</v>
      </c>
      <c r="D23" s="86">
        <v>0</v>
      </c>
      <c r="E23" s="86">
        <v>8</v>
      </c>
      <c r="F23" s="86" t="s">
        <v>218</v>
      </c>
    </row>
    <row r="24" spans="1:13" x14ac:dyDescent="0.2">
      <c r="A24" s="103">
        <v>46290</v>
      </c>
      <c r="B24" s="86" t="s">
        <v>331</v>
      </c>
      <c r="C24" s="86">
        <v>8</v>
      </c>
      <c r="D24" s="86">
        <v>0</v>
      </c>
      <c r="E24" s="86">
        <v>8</v>
      </c>
      <c r="F24" s="86" t="s">
        <v>218</v>
      </c>
    </row>
    <row r="25" spans="1:13" x14ac:dyDescent="0.2">
      <c r="A25" s="103">
        <v>46291</v>
      </c>
      <c r="B25" s="86" t="s">
        <v>332</v>
      </c>
      <c r="C25" s="86">
        <v>6</v>
      </c>
      <c r="D25" s="86">
        <v>0</v>
      </c>
      <c r="E25" s="86">
        <v>6</v>
      </c>
      <c r="F25" s="86" t="s">
        <v>218</v>
      </c>
    </row>
    <row r="26" spans="1:13" x14ac:dyDescent="0.2">
      <c r="A26" s="87" t="s">
        <v>61</v>
      </c>
      <c r="B26" s="86"/>
      <c r="C26" s="87">
        <v>46</v>
      </c>
      <c r="D26" s="87">
        <v>0</v>
      </c>
      <c r="E26" s="87">
        <v>46</v>
      </c>
      <c r="F26" s="86"/>
    </row>
    <row r="29" spans="1:13" ht="22" x14ac:dyDescent="0.3">
      <c r="A29" s="46" t="s">
        <v>333</v>
      </c>
    </row>
    <row r="30" spans="1:13" x14ac:dyDescent="0.2">
      <c r="A30" s="87" t="s">
        <v>1</v>
      </c>
      <c r="B30" s="87" t="s">
        <v>334</v>
      </c>
      <c r="C30" s="87" t="s">
        <v>335</v>
      </c>
      <c r="D30" s="87" t="s">
        <v>143</v>
      </c>
    </row>
    <row r="31" spans="1:13" x14ac:dyDescent="0.2">
      <c r="A31" s="86" t="s">
        <v>15</v>
      </c>
      <c r="B31" s="86">
        <v>46</v>
      </c>
      <c r="C31" s="86">
        <v>0</v>
      </c>
      <c r="D31" s="102">
        <v>1932</v>
      </c>
    </row>
    <row r="34" spans="1:7" ht="22" x14ac:dyDescent="0.3">
      <c r="A34" s="70" t="s">
        <v>336</v>
      </c>
      <c r="B34" s="50"/>
      <c r="C34" s="50"/>
      <c r="D34" s="50"/>
    </row>
    <row r="35" spans="1:7" ht="51" x14ac:dyDescent="0.2">
      <c r="A35" s="110" t="s">
        <v>337</v>
      </c>
      <c r="B35" s="54"/>
      <c r="C35" s="54"/>
      <c r="D35" s="54"/>
    </row>
    <row r="36" spans="1:7" ht="16" customHeight="1" x14ac:dyDescent="0.2">
      <c r="A36" s="86"/>
      <c r="B36" s="50"/>
      <c r="C36" s="50"/>
      <c r="D36" s="50"/>
    </row>
    <row r="37" spans="1:7" x14ac:dyDescent="0.2">
      <c r="A37" s="86" t="s">
        <v>338</v>
      </c>
      <c r="B37" s="50"/>
      <c r="C37" s="50"/>
      <c r="D37" s="50"/>
      <c r="F37" s="1"/>
      <c r="G37" s="1"/>
    </row>
    <row r="38" spans="1:7" x14ac:dyDescent="0.2">
      <c r="A38" s="87" t="s">
        <v>339</v>
      </c>
      <c r="B38" s="50"/>
      <c r="C38" s="50"/>
      <c r="D38" s="50"/>
    </row>
    <row r="39" spans="1:7" ht="34" x14ac:dyDescent="0.2">
      <c r="A39" s="85" t="s">
        <v>340</v>
      </c>
      <c r="B39" s="50"/>
      <c r="C39" s="50"/>
      <c r="D39" s="50"/>
    </row>
    <row r="42" spans="1:7" ht="22" x14ac:dyDescent="0.3">
      <c r="A42" s="70" t="s">
        <v>341</v>
      </c>
      <c r="B42" s="50"/>
    </row>
    <row r="43" spans="1:7" x14ac:dyDescent="0.2">
      <c r="A43" s="86" t="s">
        <v>342</v>
      </c>
      <c r="B43" s="86"/>
    </row>
    <row r="44" spans="1:7" x14ac:dyDescent="0.2">
      <c r="A44" s="87" t="s">
        <v>343</v>
      </c>
      <c r="B44" s="86"/>
    </row>
    <row r="45" spans="1:7" x14ac:dyDescent="0.2">
      <c r="A45" s="86"/>
      <c r="B45" s="86"/>
    </row>
    <row r="46" spans="1:7" x14ac:dyDescent="0.2">
      <c r="A46" s="87" t="s">
        <v>344</v>
      </c>
      <c r="B46" s="86"/>
    </row>
    <row r="47" spans="1:7" x14ac:dyDescent="0.2">
      <c r="A47" s="87" t="s">
        <v>345</v>
      </c>
      <c r="B47" s="87" t="s">
        <v>346</v>
      </c>
    </row>
    <row r="48" spans="1:7" x14ac:dyDescent="0.2">
      <c r="A48" s="86" t="s">
        <v>347</v>
      </c>
      <c r="B48" s="86">
        <v>40</v>
      </c>
    </row>
    <row r="49" spans="1:13" x14ac:dyDescent="0.2">
      <c r="A49" s="86" t="s">
        <v>348</v>
      </c>
      <c r="B49" s="86">
        <v>46</v>
      </c>
    </row>
    <row r="50" spans="1:13" x14ac:dyDescent="0.2">
      <c r="A50" s="86" t="s">
        <v>349</v>
      </c>
      <c r="B50" s="86"/>
    </row>
    <row r="53" spans="1:13" ht="22" x14ac:dyDescent="0.3">
      <c r="A53" s="70" t="s">
        <v>350</v>
      </c>
    </row>
    <row r="54" spans="1:13" x14ac:dyDescent="0.2">
      <c r="A54" s="86" t="s">
        <v>351</v>
      </c>
    </row>
    <row r="55" spans="1:13" ht="34" x14ac:dyDescent="0.2">
      <c r="A55" s="110" t="s">
        <v>352</v>
      </c>
    </row>
    <row r="56" spans="1:13" x14ac:dyDescent="0.2">
      <c r="B56" s="50"/>
      <c r="C56" s="50"/>
      <c r="D56" s="50"/>
    </row>
    <row r="57" spans="1:13" ht="16" customHeight="1" x14ac:dyDescent="0.2">
      <c r="B57" s="50"/>
      <c r="C57" s="50"/>
      <c r="D57" s="50"/>
    </row>
    <row r="58" spans="1:13" ht="24" x14ac:dyDescent="0.3">
      <c r="A58" s="44" t="s">
        <v>83</v>
      </c>
      <c r="B58" s="36"/>
      <c r="C58" s="36"/>
      <c r="D58" s="36"/>
      <c r="E58" s="36"/>
      <c r="F58" s="36"/>
      <c r="G58" s="36"/>
      <c r="H58" s="36"/>
      <c r="I58" s="36"/>
      <c r="J58" s="36"/>
      <c r="K58" s="36"/>
      <c r="L58" s="36"/>
      <c r="M58" s="36"/>
    </row>
    <row r="59" spans="1:13" ht="24" x14ac:dyDescent="0.3">
      <c r="A59" s="3"/>
    </row>
    <row r="60" spans="1:13" x14ac:dyDescent="0.2">
      <c r="A60" s="111" t="s">
        <v>354</v>
      </c>
      <c r="B60" s="78" t="s">
        <v>355</v>
      </c>
      <c r="C60" s="78" t="s">
        <v>356</v>
      </c>
      <c r="D60" s="78" t="s">
        <v>357</v>
      </c>
      <c r="E60" s="78" t="s">
        <v>358</v>
      </c>
      <c r="F60" s="78" t="s">
        <v>359</v>
      </c>
      <c r="G60" s="78" t="s">
        <v>360</v>
      </c>
      <c r="H60" s="78" t="s">
        <v>361</v>
      </c>
      <c r="I60" s="78" t="s">
        <v>61</v>
      </c>
    </row>
    <row r="61" spans="1:13" x14ac:dyDescent="0.2">
      <c r="A61" s="111" t="s">
        <v>362</v>
      </c>
      <c r="B61" s="78">
        <v>0</v>
      </c>
      <c r="C61" s="78">
        <v>8</v>
      </c>
      <c r="D61" s="78">
        <v>8</v>
      </c>
      <c r="E61" s="78">
        <v>8</v>
      </c>
      <c r="F61" s="78">
        <v>8</v>
      </c>
      <c r="G61" s="78">
        <v>8</v>
      </c>
      <c r="H61" s="78">
        <v>6</v>
      </c>
      <c r="I61" s="78">
        <f>SUM($B$61:$H$61)</f>
        <v>46</v>
      </c>
    </row>
    <row r="62" spans="1:13" ht="34" x14ac:dyDescent="0.2">
      <c r="A62" s="111" t="s">
        <v>363</v>
      </c>
      <c r="B62" s="78" t="s">
        <v>218</v>
      </c>
      <c r="C62" s="112" t="s">
        <v>364</v>
      </c>
      <c r="D62" s="78"/>
      <c r="E62" s="78"/>
      <c r="F62" s="78"/>
      <c r="G62" s="78"/>
      <c r="H62" s="78"/>
      <c r="I62" s="78"/>
    </row>
    <row r="63" spans="1:13" ht="34" x14ac:dyDescent="0.2">
      <c r="A63" s="111" t="s">
        <v>326</v>
      </c>
      <c r="B63" s="78" t="s">
        <v>218</v>
      </c>
      <c r="C63" s="112" t="s">
        <v>365</v>
      </c>
      <c r="D63" s="78"/>
      <c r="E63" s="78"/>
      <c r="F63" s="78"/>
      <c r="G63" s="78"/>
      <c r="H63" s="78"/>
      <c r="I63" s="78"/>
    </row>
    <row r="64" spans="1:13" x14ac:dyDescent="0.2">
      <c r="A64" s="111" t="s">
        <v>366</v>
      </c>
      <c r="B64" s="78">
        <v>46</v>
      </c>
      <c r="C64" s="78" t="s">
        <v>367</v>
      </c>
      <c r="D64" s="78"/>
      <c r="E64" s="78"/>
      <c r="F64" s="78"/>
      <c r="G64" s="78"/>
      <c r="H64" s="78"/>
      <c r="I64" s="78"/>
    </row>
    <row r="65" spans="1:13" x14ac:dyDescent="0.2">
      <c r="A65" s="111" t="s">
        <v>368</v>
      </c>
      <c r="B65" s="78" t="s">
        <v>218</v>
      </c>
      <c r="C65" s="78" t="s">
        <v>369</v>
      </c>
      <c r="D65" s="78"/>
      <c r="E65" s="78" t="s">
        <v>370</v>
      </c>
      <c r="F65" s="113">
        <f>D31/B31</f>
        <v>42</v>
      </c>
      <c r="G65" s="78"/>
      <c r="H65" s="78"/>
      <c r="I65" s="78"/>
    </row>
    <row r="66" spans="1:13" x14ac:dyDescent="0.2">
      <c r="A66" s="78"/>
      <c r="B66" s="78"/>
      <c r="C66" s="78"/>
      <c r="D66" s="78"/>
      <c r="E66" s="78" t="s">
        <v>371</v>
      </c>
      <c r="F66" s="113">
        <f>F65*6*0.5</f>
        <v>126</v>
      </c>
      <c r="G66" s="78"/>
      <c r="H66" s="78"/>
      <c r="I66" s="78"/>
    </row>
    <row r="68" spans="1:13" ht="24" x14ac:dyDescent="0.3">
      <c r="A68" s="44" t="s">
        <v>84</v>
      </c>
      <c r="B68" s="36"/>
      <c r="C68" s="36"/>
      <c r="D68" s="36"/>
      <c r="E68" s="36"/>
      <c r="F68" s="36"/>
      <c r="G68" s="36"/>
      <c r="H68" s="36"/>
      <c r="I68" s="36"/>
      <c r="J68" s="36"/>
      <c r="K68" s="36"/>
      <c r="L68" s="36"/>
      <c r="M68" s="36"/>
    </row>
    <row r="70" spans="1:13" ht="22" x14ac:dyDescent="0.2">
      <c r="A70" s="72" t="s">
        <v>372</v>
      </c>
      <c r="B70" s="72"/>
    </row>
    <row r="71" spans="1:13" x14ac:dyDescent="0.2">
      <c r="A71" t="s">
        <v>134</v>
      </c>
    </row>
    <row r="72" spans="1:13" x14ac:dyDescent="0.2">
      <c r="A72" t="s">
        <v>307</v>
      </c>
    </row>
    <row r="74" spans="1:13" ht="116" customHeight="1" x14ac:dyDescent="0.2">
      <c r="A74" s="121" t="s">
        <v>518</v>
      </c>
      <c r="B74" s="73"/>
    </row>
    <row r="75" spans="1:13" ht="34" customHeight="1" x14ac:dyDescent="0.2">
      <c r="A75" s="27" t="s">
        <v>519</v>
      </c>
      <c r="B75" s="27"/>
    </row>
    <row r="76" spans="1:13" ht="89" customHeight="1" x14ac:dyDescent="0.2">
      <c r="A76" s="27" t="s">
        <v>520</v>
      </c>
      <c r="B76" s="27"/>
    </row>
    <row r="83" spans="1:8" x14ac:dyDescent="0.2">
      <c r="H83" s="10"/>
    </row>
    <row r="84" spans="1:8" ht="24" x14ac:dyDescent="0.3">
      <c r="A84" s="3"/>
    </row>
    <row r="85" spans="1:8" ht="24" x14ac:dyDescent="0.3">
      <c r="A85" s="3"/>
    </row>
    <row r="100" spans="1:3" x14ac:dyDescent="0.2">
      <c r="B100" s="25"/>
      <c r="C100" s="25"/>
    </row>
    <row r="103" spans="1:3" ht="19" x14ac:dyDescent="0.25">
      <c r="A103" s="6"/>
    </row>
    <row r="105" spans="1:3" ht="24" x14ac:dyDescent="0.3">
      <c r="A105" s="3"/>
    </row>
  </sheetData>
  <mergeCells count="8">
    <mergeCell ref="A70:B70"/>
    <mergeCell ref="A74:B74"/>
    <mergeCell ref="A75:B75"/>
    <mergeCell ref="A76:B76"/>
    <mergeCell ref="A6:D6"/>
    <mergeCell ref="A7:D7"/>
    <mergeCell ref="A8:D8"/>
    <mergeCell ref="G8:J8"/>
  </mergeCells>
  <conditionalFormatting sqref="C31">
    <cfRule type="expression" dxfId="20" priority="1">
      <formula>AND($C$31=0,$E$26&gt;40)</formula>
    </cfRule>
  </conditionalFormatting>
  <conditionalFormatting sqref="E26">
    <cfRule type="cellIs" dxfId="19" priority="2" operator="greaterThan">
      <formula>40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8068C-574A-2D45-818E-B4AB4CFEFFB1}">
  <dimension ref="A1:N131"/>
  <sheetViews>
    <sheetView zoomScaleNormal="100" workbookViewId="0">
      <selection activeCell="E109" sqref="E109"/>
    </sheetView>
  </sheetViews>
  <sheetFormatPr baseColWidth="10" defaultRowHeight="16" x14ac:dyDescent="0.2"/>
  <cols>
    <col min="1" max="1" width="51.5" customWidth="1"/>
    <col min="2" max="2" width="22.1640625" bestFit="1" customWidth="1"/>
    <col min="3" max="3" width="36.1640625" customWidth="1"/>
    <col min="4" max="4" width="17" customWidth="1"/>
    <col min="5" max="5" width="9.5" customWidth="1"/>
    <col min="6" max="6" width="32.83203125" bestFit="1" customWidth="1"/>
    <col min="7" max="7" width="13.1640625" bestFit="1" customWidth="1"/>
    <col min="8" max="8" width="12.5" bestFit="1" customWidth="1"/>
    <col min="9" max="9" width="33.5" customWidth="1"/>
    <col min="11" max="11" width="31" bestFit="1" customWidth="1"/>
    <col min="12" max="12" width="10.1640625" bestFit="1" customWidth="1"/>
    <col min="13" max="13" width="7.83203125" bestFit="1" customWidth="1"/>
  </cols>
  <sheetData>
    <row r="1" spans="1:10" ht="24" x14ac:dyDescent="0.3">
      <c r="A1" s="44" t="s">
        <v>188</v>
      </c>
      <c r="B1" s="36"/>
      <c r="C1" s="36"/>
      <c r="D1" s="36"/>
      <c r="E1" s="36"/>
      <c r="F1" s="36"/>
      <c r="G1" s="36"/>
      <c r="H1" s="36"/>
      <c r="I1" s="36"/>
      <c r="J1" s="36"/>
    </row>
    <row r="2" spans="1:10" x14ac:dyDescent="0.2">
      <c r="A2" s="17" t="s">
        <v>312</v>
      </c>
    </row>
    <row r="3" spans="1:10" x14ac:dyDescent="0.2">
      <c r="A3" s="1" t="s">
        <v>37</v>
      </c>
    </row>
    <row r="4" spans="1:10" x14ac:dyDescent="0.2">
      <c r="A4" s="1" t="s">
        <v>375</v>
      </c>
    </row>
    <row r="5" spans="1:10" x14ac:dyDescent="0.2">
      <c r="A5" t="s">
        <v>38</v>
      </c>
    </row>
    <row r="6" spans="1:10" x14ac:dyDescent="0.2">
      <c r="A6" s="47" t="s">
        <v>376</v>
      </c>
      <c r="B6" s="47"/>
      <c r="C6" s="47"/>
      <c r="D6" s="47"/>
      <c r="E6" s="47"/>
    </row>
    <row r="7" spans="1:10" x14ac:dyDescent="0.2">
      <c r="A7" s="47" t="s">
        <v>377</v>
      </c>
      <c r="B7" s="47"/>
      <c r="C7" s="47"/>
      <c r="D7" s="47"/>
      <c r="E7" s="47"/>
    </row>
    <row r="8" spans="1:10" x14ac:dyDescent="0.2">
      <c r="A8" s="48" t="s">
        <v>378</v>
      </c>
      <c r="B8" s="48"/>
      <c r="C8" s="48"/>
      <c r="D8" s="48"/>
      <c r="E8" s="48"/>
    </row>
    <row r="9" spans="1:10" ht="35" customHeight="1" x14ac:dyDescent="0.2">
      <c r="A9" s="47" t="s">
        <v>379</v>
      </c>
      <c r="B9" s="47"/>
      <c r="C9" s="47"/>
      <c r="D9" s="47"/>
      <c r="E9" s="47"/>
    </row>
    <row r="10" spans="1:10" x14ac:dyDescent="0.2">
      <c r="A10" s="47" t="s">
        <v>380</v>
      </c>
      <c r="B10" s="47"/>
      <c r="C10" s="47"/>
      <c r="D10" s="47"/>
      <c r="E10" s="47"/>
    </row>
    <row r="11" spans="1:10" x14ac:dyDescent="0.2">
      <c r="A11" s="48" t="s">
        <v>381</v>
      </c>
      <c r="B11" s="48"/>
      <c r="C11" s="48"/>
      <c r="D11" s="48"/>
      <c r="E11" s="48"/>
    </row>
    <row r="12" spans="1:10" x14ac:dyDescent="0.2">
      <c r="A12" s="47" t="s">
        <v>382</v>
      </c>
      <c r="B12" s="47"/>
      <c r="C12" s="47"/>
      <c r="D12" s="47"/>
      <c r="E12" s="47"/>
    </row>
    <row r="13" spans="1:10" x14ac:dyDescent="0.2">
      <c r="A13" t="s">
        <v>40</v>
      </c>
    </row>
    <row r="14" spans="1:10" x14ac:dyDescent="0.2">
      <c r="A14" t="s">
        <v>41</v>
      </c>
    </row>
    <row r="17" spans="1:10" ht="24" x14ac:dyDescent="0.3">
      <c r="A17" s="44" t="s">
        <v>82</v>
      </c>
      <c r="B17" s="36"/>
      <c r="C17" s="36"/>
      <c r="D17" s="36"/>
      <c r="E17" s="36"/>
      <c r="F17" s="36"/>
      <c r="G17" s="36"/>
      <c r="H17" s="36"/>
      <c r="I17" s="36"/>
      <c r="J17" s="36"/>
    </row>
    <row r="18" spans="1:10" ht="22" x14ac:dyDescent="0.3">
      <c r="A18" s="70" t="s">
        <v>383</v>
      </c>
      <c r="B18" s="50"/>
      <c r="C18" s="50"/>
      <c r="D18" s="50"/>
    </row>
    <row r="19" spans="1:10" x14ac:dyDescent="0.2">
      <c r="A19" s="38" t="s">
        <v>384</v>
      </c>
      <c r="B19" s="50"/>
      <c r="C19" s="50"/>
      <c r="D19" s="50"/>
    </row>
    <row r="20" spans="1:10" x14ac:dyDescent="0.2">
      <c r="A20" s="38" t="s">
        <v>385</v>
      </c>
      <c r="B20" s="38" t="s">
        <v>386</v>
      </c>
      <c r="C20" s="38" t="s">
        <v>387</v>
      </c>
      <c r="D20" s="38" t="s">
        <v>112</v>
      </c>
    </row>
    <row r="21" spans="1:10" x14ac:dyDescent="0.2">
      <c r="A21" s="50" t="s">
        <v>388</v>
      </c>
      <c r="B21" s="50">
        <v>248</v>
      </c>
      <c r="C21" s="50">
        <v>251</v>
      </c>
      <c r="D21" s="50">
        <v>3</v>
      </c>
    </row>
    <row r="22" spans="1:10" x14ac:dyDescent="0.2">
      <c r="A22" s="50" t="s">
        <v>389</v>
      </c>
      <c r="B22" s="52">
        <v>1842600</v>
      </c>
      <c r="C22" s="52">
        <v>1936450</v>
      </c>
      <c r="D22" s="52">
        <v>93850</v>
      </c>
    </row>
    <row r="23" spans="1:10" x14ac:dyDescent="0.2">
      <c r="A23" s="50" t="s">
        <v>390</v>
      </c>
      <c r="B23" s="50">
        <v>426</v>
      </c>
      <c r="C23" s="50">
        <v>583</v>
      </c>
      <c r="D23" s="50">
        <v>157</v>
      </c>
    </row>
    <row r="24" spans="1:10" x14ac:dyDescent="0.2">
      <c r="A24" s="50" t="s">
        <v>98</v>
      </c>
      <c r="B24" s="52">
        <v>31820</v>
      </c>
      <c r="C24" s="52">
        <v>44970</v>
      </c>
      <c r="D24" s="52">
        <v>13150</v>
      </c>
    </row>
    <row r="25" spans="1:10" x14ac:dyDescent="0.2">
      <c r="A25" s="50" t="s">
        <v>391</v>
      </c>
      <c r="B25" s="52">
        <v>1240</v>
      </c>
      <c r="C25" s="52">
        <v>2860</v>
      </c>
      <c r="D25" s="52">
        <v>1620</v>
      </c>
    </row>
    <row r="26" spans="1:10" x14ac:dyDescent="0.2">
      <c r="A26" s="50" t="s">
        <v>392</v>
      </c>
      <c r="B26" s="50">
        <v>4</v>
      </c>
      <c r="C26" s="50">
        <v>11</v>
      </c>
      <c r="D26" s="50">
        <v>7</v>
      </c>
    </row>
    <row r="27" spans="1:10" x14ac:dyDescent="0.2">
      <c r="A27" s="50" t="s">
        <v>393</v>
      </c>
      <c r="B27" s="50">
        <v>1</v>
      </c>
      <c r="C27" s="50">
        <v>4</v>
      </c>
      <c r="D27" s="50">
        <v>3</v>
      </c>
    </row>
    <row r="30" spans="1:10" ht="22" x14ac:dyDescent="0.3">
      <c r="A30" s="70" t="s">
        <v>394</v>
      </c>
      <c r="B30" s="50"/>
      <c r="C30" s="50"/>
      <c r="D30" s="50"/>
    </row>
    <row r="31" spans="1:10" x14ac:dyDescent="0.2">
      <c r="A31" s="38" t="s">
        <v>2</v>
      </c>
      <c r="B31" s="38" t="s">
        <v>395</v>
      </c>
      <c r="C31" s="38" t="s">
        <v>396</v>
      </c>
      <c r="D31" s="38" t="s">
        <v>112</v>
      </c>
    </row>
    <row r="32" spans="1:10" x14ac:dyDescent="0.2">
      <c r="A32" s="50" t="s">
        <v>11</v>
      </c>
      <c r="B32" s="50">
        <v>238</v>
      </c>
      <c r="C32" s="50">
        <v>351</v>
      </c>
      <c r="D32" s="50">
        <v>113</v>
      </c>
    </row>
    <row r="33" spans="1:4" ht="41" customHeight="1" x14ac:dyDescent="0.2">
      <c r="A33" s="50" t="s">
        <v>16</v>
      </c>
      <c r="B33" s="50">
        <v>102</v>
      </c>
      <c r="C33" s="50">
        <v>146</v>
      </c>
      <c r="D33" s="50">
        <v>44</v>
      </c>
    </row>
    <row r="34" spans="1:4" x14ac:dyDescent="0.2">
      <c r="A34" s="50" t="s">
        <v>20</v>
      </c>
      <c r="B34" s="50">
        <v>26</v>
      </c>
      <c r="C34" s="50">
        <v>29</v>
      </c>
      <c r="D34" s="50">
        <v>3</v>
      </c>
    </row>
    <row r="35" spans="1:4" x14ac:dyDescent="0.2">
      <c r="A35" s="50" t="s">
        <v>28</v>
      </c>
      <c r="B35" s="50">
        <v>38</v>
      </c>
      <c r="C35" s="50">
        <v>41</v>
      </c>
      <c r="D35" s="50">
        <v>3</v>
      </c>
    </row>
    <row r="36" spans="1:4" ht="33" customHeight="1" x14ac:dyDescent="0.2">
      <c r="A36" s="50" t="s">
        <v>34</v>
      </c>
      <c r="B36" s="50">
        <v>8</v>
      </c>
      <c r="C36" s="50">
        <v>8</v>
      </c>
      <c r="D36" s="50">
        <v>0</v>
      </c>
    </row>
    <row r="37" spans="1:4" x14ac:dyDescent="0.2">
      <c r="A37" s="50" t="s">
        <v>26</v>
      </c>
      <c r="B37" s="50">
        <v>0</v>
      </c>
      <c r="C37" s="50">
        <v>0</v>
      </c>
      <c r="D37" s="50">
        <v>0</v>
      </c>
    </row>
    <row r="38" spans="1:4" x14ac:dyDescent="0.2">
      <c r="A38" s="50" t="s">
        <v>116</v>
      </c>
      <c r="B38" s="50">
        <v>14</v>
      </c>
      <c r="C38" s="50">
        <v>8</v>
      </c>
      <c r="D38" s="50">
        <v>-6</v>
      </c>
    </row>
    <row r="41" spans="1:4" ht="22" x14ac:dyDescent="0.3">
      <c r="A41" s="70" t="s">
        <v>392</v>
      </c>
      <c r="B41" s="50"/>
      <c r="C41" s="50"/>
    </row>
    <row r="42" spans="1:4" x14ac:dyDescent="0.2">
      <c r="A42" s="38" t="s">
        <v>397</v>
      </c>
      <c r="B42" s="38" t="s">
        <v>398</v>
      </c>
      <c r="C42" s="38" t="s">
        <v>399</v>
      </c>
    </row>
    <row r="43" spans="1:4" x14ac:dyDescent="0.2">
      <c r="A43" s="50" t="s">
        <v>400</v>
      </c>
      <c r="B43" s="50">
        <v>1</v>
      </c>
      <c r="C43" s="50">
        <v>5</v>
      </c>
    </row>
    <row r="44" spans="1:4" x14ac:dyDescent="0.2">
      <c r="A44" s="50" t="s">
        <v>401</v>
      </c>
      <c r="B44" s="50">
        <v>1</v>
      </c>
      <c r="C44" s="50">
        <v>2</v>
      </c>
    </row>
    <row r="45" spans="1:4" x14ac:dyDescent="0.2">
      <c r="A45" s="50" t="s">
        <v>402</v>
      </c>
      <c r="B45" s="50">
        <v>1</v>
      </c>
      <c r="C45" s="50">
        <v>3</v>
      </c>
    </row>
    <row r="46" spans="1:4" x14ac:dyDescent="0.2">
      <c r="A46" s="50" t="s">
        <v>403</v>
      </c>
      <c r="B46" s="50">
        <v>1</v>
      </c>
      <c r="C46" s="50">
        <v>1</v>
      </c>
    </row>
    <row r="47" spans="1:4" x14ac:dyDescent="0.2">
      <c r="A47" s="38" t="s">
        <v>61</v>
      </c>
      <c r="B47" s="38">
        <v>4</v>
      </c>
      <c r="C47" s="38">
        <v>11</v>
      </c>
    </row>
    <row r="50" spans="1:1" ht="22" x14ac:dyDescent="0.3">
      <c r="A50" s="70" t="s">
        <v>404</v>
      </c>
    </row>
    <row r="51" spans="1:1" x14ac:dyDescent="0.2">
      <c r="A51" s="86" t="s">
        <v>405</v>
      </c>
    </row>
    <row r="52" spans="1:1" x14ac:dyDescent="0.2">
      <c r="A52" s="86" t="s">
        <v>406</v>
      </c>
    </row>
    <row r="53" spans="1:1" x14ac:dyDescent="0.2">
      <c r="A53" s="86" t="s">
        <v>407</v>
      </c>
    </row>
    <row r="54" spans="1:1" x14ac:dyDescent="0.2">
      <c r="A54" s="86" t="s">
        <v>408</v>
      </c>
    </row>
    <row r="55" spans="1:1" x14ac:dyDescent="0.2">
      <c r="A55" s="86" t="s">
        <v>409</v>
      </c>
    </row>
    <row r="56" spans="1:1" x14ac:dyDescent="0.2">
      <c r="A56" s="86" t="s">
        <v>410</v>
      </c>
    </row>
    <row r="57" spans="1:1" x14ac:dyDescent="0.2">
      <c r="A57" s="86" t="s">
        <v>411</v>
      </c>
    </row>
    <row r="58" spans="1:1" x14ac:dyDescent="0.2">
      <c r="A58" s="86"/>
    </row>
    <row r="59" spans="1:1" x14ac:dyDescent="0.2">
      <c r="A59" s="86" t="s">
        <v>412</v>
      </c>
    </row>
    <row r="60" spans="1:1" x14ac:dyDescent="0.2">
      <c r="A60" s="86"/>
    </row>
    <row r="61" spans="1:1" x14ac:dyDescent="0.2">
      <c r="A61" s="86" t="s">
        <v>413</v>
      </c>
    </row>
    <row r="62" spans="1:1" x14ac:dyDescent="0.2">
      <c r="A62" s="86" t="s">
        <v>414</v>
      </c>
    </row>
    <row r="63" spans="1:1" x14ac:dyDescent="0.2">
      <c r="A63" s="86" t="s">
        <v>415</v>
      </c>
    </row>
    <row r="66" spans="1:5" ht="22" x14ac:dyDescent="0.3">
      <c r="A66" s="70" t="s">
        <v>416</v>
      </c>
    </row>
    <row r="67" spans="1:5" ht="19" x14ac:dyDescent="0.25">
      <c r="A67" s="91" t="s">
        <v>417</v>
      </c>
    </row>
    <row r="68" spans="1:5" ht="51" x14ac:dyDescent="0.2">
      <c r="A68" s="110" t="s">
        <v>418</v>
      </c>
    </row>
    <row r="69" spans="1:5" x14ac:dyDescent="0.2">
      <c r="A69" s="86"/>
    </row>
    <row r="70" spans="1:5" ht="19" x14ac:dyDescent="0.25">
      <c r="A70" s="91" t="s">
        <v>419</v>
      </c>
      <c r="B70" s="50"/>
      <c r="C70" s="50"/>
      <c r="D70" s="50"/>
      <c r="E70" s="50"/>
    </row>
    <row r="71" spans="1:5" ht="51" x14ac:dyDescent="0.2">
      <c r="A71" s="110" t="s">
        <v>420</v>
      </c>
      <c r="B71" s="50"/>
      <c r="C71" s="50"/>
      <c r="D71" s="50"/>
      <c r="E71" s="50"/>
    </row>
    <row r="72" spans="1:5" x14ac:dyDescent="0.2">
      <c r="A72" s="86"/>
      <c r="B72" s="54"/>
      <c r="C72" s="54"/>
      <c r="D72" s="54"/>
      <c r="E72" s="54"/>
    </row>
    <row r="73" spans="1:5" ht="19" x14ac:dyDescent="0.25">
      <c r="A73" s="91" t="s">
        <v>421</v>
      </c>
      <c r="B73" s="50"/>
      <c r="C73" s="50"/>
      <c r="D73" s="50"/>
      <c r="E73" s="50"/>
    </row>
    <row r="74" spans="1:5" ht="16" customHeight="1" x14ac:dyDescent="0.2">
      <c r="A74" s="110" t="s">
        <v>422</v>
      </c>
      <c r="B74" s="50"/>
      <c r="C74" s="50"/>
      <c r="D74" s="50"/>
      <c r="E74" s="50"/>
    </row>
    <row r="75" spans="1:5" x14ac:dyDescent="0.2">
      <c r="A75" s="86"/>
      <c r="B75" s="54"/>
      <c r="C75" s="54"/>
      <c r="D75" s="54"/>
      <c r="E75" s="54"/>
    </row>
    <row r="76" spans="1:5" ht="19" x14ac:dyDescent="0.25">
      <c r="A76" s="91" t="s">
        <v>423</v>
      </c>
      <c r="B76" s="50"/>
      <c r="C76" s="50"/>
      <c r="D76" s="50"/>
      <c r="E76" s="50"/>
    </row>
    <row r="77" spans="1:5" ht="16" customHeight="1" x14ac:dyDescent="0.2">
      <c r="A77" s="110" t="s">
        <v>424</v>
      </c>
      <c r="B77" s="50"/>
      <c r="C77" s="50"/>
      <c r="D77" s="50"/>
      <c r="E77" s="50"/>
    </row>
    <row r="78" spans="1:5" x14ac:dyDescent="0.2">
      <c r="B78" s="54"/>
      <c r="C78" s="54"/>
      <c r="D78" s="54"/>
      <c r="E78" s="54"/>
    </row>
    <row r="79" spans="1:5" x14ac:dyDescent="0.2">
      <c r="B79" s="50"/>
      <c r="C79" s="50"/>
      <c r="D79" s="50"/>
      <c r="E79" s="50"/>
    </row>
    <row r="80" spans="1:5" ht="22" x14ac:dyDescent="0.3">
      <c r="A80" s="70" t="s">
        <v>425</v>
      </c>
      <c r="B80" s="50"/>
      <c r="C80" s="50"/>
      <c r="D80" s="50"/>
      <c r="E80" s="50"/>
    </row>
    <row r="81" spans="1:5" x14ac:dyDescent="0.2">
      <c r="A81" s="114" t="s">
        <v>426</v>
      </c>
      <c r="B81" s="114"/>
      <c r="C81" s="114"/>
      <c r="D81" s="54"/>
      <c r="E81" s="54"/>
    </row>
    <row r="82" spans="1:5" x14ac:dyDescent="0.2">
      <c r="A82" s="87" t="s">
        <v>2</v>
      </c>
      <c r="B82" s="87" t="s">
        <v>427</v>
      </c>
      <c r="C82" s="87" t="s">
        <v>326</v>
      </c>
    </row>
    <row r="83" spans="1:5" x14ac:dyDescent="0.2">
      <c r="A83" s="86" t="s">
        <v>11</v>
      </c>
      <c r="B83" s="86">
        <v>5</v>
      </c>
      <c r="C83" s="86" t="s">
        <v>428</v>
      </c>
    </row>
    <row r="84" spans="1:5" x14ac:dyDescent="0.2">
      <c r="A84" s="86" t="s">
        <v>16</v>
      </c>
      <c r="B84" s="86">
        <v>3</v>
      </c>
      <c r="C84" s="86" t="s">
        <v>428</v>
      </c>
    </row>
    <row r="85" spans="1:5" x14ac:dyDescent="0.2">
      <c r="A85" s="86" t="s">
        <v>28</v>
      </c>
      <c r="B85" s="86">
        <v>1</v>
      </c>
      <c r="C85" s="86" t="s">
        <v>429</v>
      </c>
    </row>
    <row r="86" spans="1:5" x14ac:dyDescent="0.2">
      <c r="A86" s="86"/>
      <c r="B86" s="86"/>
      <c r="C86" s="86"/>
    </row>
    <row r="87" spans="1:5" x14ac:dyDescent="0.2">
      <c r="A87" s="86" t="s">
        <v>430</v>
      </c>
      <c r="B87" s="86"/>
      <c r="C87" s="86"/>
    </row>
    <row r="88" spans="1:5" x14ac:dyDescent="0.2">
      <c r="A88" s="86"/>
      <c r="B88" s="86"/>
      <c r="C88" s="86"/>
    </row>
    <row r="89" spans="1:5" x14ac:dyDescent="0.2">
      <c r="A89" s="86" t="s">
        <v>431</v>
      </c>
      <c r="B89" s="86"/>
      <c r="C89" s="86"/>
    </row>
    <row r="90" spans="1:5" x14ac:dyDescent="0.2">
      <c r="A90" s="86" t="s">
        <v>432</v>
      </c>
      <c r="B90" s="86"/>
      <c r="C90" s="86"/>
    </row>
    <row r="91" spans="1:5" x14ac:dyDescent="0.2">
      <c r="A91" s="86" t="s">
        <v>433</v>
      </c>
      <c r="B91" s="86"/>
      <c r="C91" s="86"/>
    </row>
    <row r="94" spans="1:5" ht="22" x14ac:dyDescent="0.3">
      <c r="A94" s="70" t="s">
        <v>434</v>
      </c>
    </row>
    <row r="95" spans="1:5" x14ac:dyDescent="0.2">
      <c r="A95" s="86" t="s">
        <v>435</v>
      </c>
    </row>
    <row r="96" spans="1:5" ht="34" x14ac:dyDescent="0.2">
      <c r="A96" s="110" t="s">
        <v>436</v>
      </c>
    </row>
    <row r="97" spans="1:10" x14ac:dyDescent="0.2">
      <c r="A97" s="86" t="s">
        <v>437</v>
      </c>
    </row>
    <row r="98" spans="1:10" ht="34" x14ac:dyDescent="0.2">
      <c r="A98" s="85" t="s">
        <v>438</v>
      </c>
    </row>
    <row r="99" spans="1:10" ht="51" x14ac:dyDescent="0.2">
      <c r="A99" s="110" t="s">
        <v>439</v>
      </c>
    </row>
    <row r="100" spans="1:10" x14ac:dyDescent="0.2">
      <c r="B100" s="50"/>
      <c r="C100" s="50"/>
      <c r="D100" s="50"/>
      <c r="E100" s="50"/>
      <c r="F100" s="50"/>
      <c r="G100" s="50"/>
      <c r="H100" s="50"/>
    </row>
    <row r="101" spans="1:10" x14ac:dyDescent="0.2">
      <c r="B101" s="50"/>
      <c r="C101" s="50"/>
      <c r="D101" s="50"/>
      <c r="E101" s="50"/>
      <c r="F101" s="50"/>
      <c r="G101" s="50"/>
      <c r="H101" s="50"/>
    </row>
    <row r="102" spans="1:10" ht="24" x14ac:dyDescent="0.3">
      <c r="A102" s="44" t="s">
        <v>83</v>
      </c>
      <c r="B102" s="36"/>
      <c r="C102" s="36"/>
      <c r="D102" s="36"/>
      <c r="E102" s="36"/>
      <c r="F102" s="36"/>
      <c r="G102" s="36"/>
      <c r="H102" s="36"/>
      <c r="I102" s="36"/>
      <c r="J102" s="36"/>
    </row>
    <row r="103" spans="1:10" ht="16" customHeight="1" x14ac:dyDescent="0.3">
      <c r="A103" s="3"/>
    </row>
    <row r="104" spans="1:10" ht="24" x14ac:dyDescent="0.3">
      <c r="A104" s="41" t="s">
        <v>470</v>
      </c>
      <c r="C104" s="10"/>
    </row>
    <row r="105" spans="1:10" ht="17" x14ac:dyDescent="0.2">
      <c r="A105" s="1" t="s">
        <v>353</v>
      </c>
      <c r="B105" s="1" t="s">
        <v>235</v>
      </c>
      <c r="C105" s="68" t="s">
        <v>440</v>
      </c>
      <c r="D105" s="1" t="s">
        <v>441</v>
      </c>
      <c r="E105" s="1" t="s">
        <v>55</v>
      </c>
      <c r="F105" s="1" t="s">
        <v>77</v>
      </c>
    </row>
    <row r="106" spans="1:10" ht="119" x14ac:dyDescent="0.2">
      <c r="A106" s="10" t="s">
        <v>444</v>
      </c>
      <c r="B106" s="10" t="s">
        <v>445</v>
      </c>
      <c r="C106" s="10" t="s">
        <v>491</v>
      </c>
      <c r="D106" s="10" t="s">
        <v>446</v>
      </c>
      <c r="E106" t="s">
        <v>447</v>
      </c>
      <c r="F106" s="10" t="s">
        <v>448</v>
      </c>
    </row>
    <row r="107" spans="1:10" ht="153" x14ac:dyDescent="0.2">
      <c r="A107" t="s">
        <v>450</v>
      </c>
      <c r="B107" s="10" t="s">
        <v>449</v>
      </c>
      <c r="C107" s="10" t="s">
        <v>458</v>
      </c>
      <c r="D107" s="10" t="s">
        <v>467</v>
      </c>
      <c r="E107" t="s">
        <v>447</v>
      </c>
      <c r="F107" s="10" t="s">
        <v>527</v>
      </c>
    </row>
    <row r="108" spans="1:10" ht="119" x14ac:dyDescent="0.2">
      <c r="A108" t="s">
        <v>460</v>
      </c>
      <c r="B108" s="10" t="s">
        <v>461</v>
      </c>
      <c r="C108" s="10" t="s">
        <v>459</v>
      </c>
      <c r="D108" s="10" t="s">
        <v>451</v>
      </c>
      <c r="E108" t="s">
        <v>62</v>
      </c>
      <c r="F108" s="10" t="s">
        <v>528</v>
      </c>
    </row>
    <row r="109" spans="1:10" ht="51" x14ac:dyDescent="0.2">
      <c r="A109" s="10" t="s">
        <v>452</v>
      </c>
      <c r="B109" s="31" t="s">
        <v>466</v>
      </c>
      <c r="C109" s="10" t="s">
        <v>453</v>
      </c>
      <c r="D109" s="10" t="s">
        <v>526</v>
      </c>
      <c r="E109" t="s">
        <v>447</v>
      </c>
      <c r="F109" s="10" t="s">
        <v>462</v>
      </c>
      <c r="J109" s="10"/>
    </row>
    <row r="110" spans="1:10" ht="51" x14ac:dyDescent="0.2">
      <c r="A110" t="s">
        <v>454</v>
      </c>
      <c r="B110" s="17" t="s">
        <v>404</v>
      </c>
      <c r="C110" s="10" t="s">
        <v>455</v>
      </c>
      <c r="D110" s="10" t="s">
        <v>465</v>
      </c>
      <c r="E110" t="s">
        <v>62</v>
      </c>
      <c r="F110" s="10" t="s">
        <v>468</v>
      </c>
      <c r="J110" s="10"/>
    </row>
    <row r="111" spans="1:10" ht="51" x14ac:dyDescent="0.2">
      <c r="A111" t="s">
        <v>456</v>
      </c>
      <c r="B111" s="17" t="s">
        <v>464</v>
      </c>
      <c r="C111" s="10" t="s">
        <v>457</v>
      </c>
      <c r="D111" t="s">
        <v>131</v>
      </c>
      <c r="E111" t="s">
        <v>65</v>
      </c>
      <c r="F111" s="10" t="s">
        <v>463</v>
      </c>
      <c r="J111" s="10"/>
    </row>
    <row r="114" spans="1:14" ht="24" x14ac:dyDescent="0.3">
      <c r="A114" s="45" t="s">
        <v>84</v>
      </c>
      <c r="B114" s="62"/>
      <c r="C114" s="36"/>
      <c r="D114" s="36"/>
      <c r="E114" s="36"/>
      <c r="F114" s="36"/>
      <c r="G114" s="36"/>
      <c r="H114" s="36"/>
      <c r="I114" s="36"/>
      <c r="J114" s="36"/>
    </row>
    <row r="115" spans="1:14" ht="24" x14ac:dyDescent="0.2">
      <c r="A115" s="71" t="s">
        <v>73</v>
      </c>
      <c r="B115" s="71"/>
      <c r="N115" s="10"/>
    </row>
    <row r="116" spans="1:14" ht="19" x14ac:dyDescent="0.25">
      <c r="A116" t="s">
        <v>442</v>
      </c>
      <c r="C116" s="6"/>
      <c r="K116" s="10"/>
      <c r="N116" s="10"/>
    </row>
    <row r="117" spans="1:14" ht="19" x14ac:dyDescent="0.25">
      <c r="A117" t="s">
        <v>443</v>
      </c>
      <c r="B117" s="1"/>
      <c r="C117" s="6"/>
      <c r="L117" s="10"/>
      <c r="N117" s="10"/>
    </row>
    <row r="118" spans="1:14" ht="19" x14ac:dyDescent="0.25">
      <c r="C118" s="6"/>
    </row>
    <row r="119" spans="1:14" ht="123" customHeight="1" x14ac:dyDescent="0.25">
      <c r="A119" s="27" t="s">
        <v>521</v>
      </c>
      <c r="B119" s="27"/>
      <c r="C119" s="6"/>
    </row>
    <row r="120" spans="1:14" ht="57" customHeight="1" x14ac:dyDescent="0.2">
      <c r="A120" s="27" t="s">
        <v>469</v>
      </c>
      <c r="B120" s="27"/>
    </row>
    <row r="121" spans="1:14" ht="61" customHeight="1" x14ac:dyDescent="0.2">
      <c r="A121" s="27" t="s">
        <v>522</v>
      </c>
      <c r="B121" s="27"/>
    </row>
    <row r="123" spans="1:14" ht="24" x14ac:dyDescent="0.2">
      <c r="A123" s="71" t="s">
        <v>374</v>
      </c>
      <c r="B123" s="71"/>
    </row>
    <row r="124" spans="1:14" ht="19" x14ac:dyDescent="0.25">
      <c r="A124" s="6" t="s">
        <v>97</v>
      </c>
    </row>
    <row r="125" spans="1:14" x14ac:dyDescent="0.2">
      <c r="A125" s="27" t="s">
        <v>523</v>
      </c>
      <c r="B125" s="27"/>
    </row>
    <row r="127" spans="1:14" ht="19" x14ac:dyDescent="0.25">
      <c r="A127" s="6" t="s">
        <v>26</v>
      </c>
    </row>
    <row r="128" spans="1:14" ht="55" customHeight="1" x14ac:dyDescent="0.2">
      <c r="A128" s="27" t="s">
        <v>524</v>
      </c>
      <c r="B128" s="27"/>
    </row>
    <row r="130" spans="1:2" ht="19" x14ac:dyDescent="0.25">
      <c r="A130" s="6" t="s">
        <v>28</v>
      </c>
    </row>
    <row r="131" spans="1:2" x14ac:dyDescent="0.2">
      <c r="A131" s="27" t="s">
        <v>525</v>
      </c>
      <c r="B131" s="27"/>
    </row>
  </sheetData>
  <mergeCells count="13">
    <mergeCell ref="A131:B131"/>
    <mergeCell ref="A119:B119"/>
    <mergeCell ref="A120:B120"/>
    <mergeCell ref="A121:B121"/>
    <mergeCell ref="A115:B115"/>
    <mergeCell ref="A123:B123"/>
    <mergeCell ref="A125:B125"/>
    <mergeCell ref="A128:B128"/>
    <mergeCell ref="A12:E12"/>
    <mergeCell ref="A6:E6"/>
    <mergeCell ref="A7:E7"/>
    <mergeCell ref="A9:E9"/>
    <mergeCell ref="A10:E10"/>
  </mergeCells>
  <conditionalFormatting sqref="E106:E111">
    <cfRule type="containsText" dxfId="3" priority="2" stopIfTrue="1" operator="containsText" text="Medium">
      <formula>NOT(ISERROR(SEARCH("Medium",E106)))</formula>
    </cfRule>
    <cfRule type="containsText" dxfId="5" priority="4" operator="containsText" text="Low">
      <formula>NOT(ISERROR(SEARCH("Low",E106)))</formula>
    </cfRule>
    <cfRule type="containsText" dxfId="4" priority="1" operator="containsText" text="High">
      <formula>NOT(ISERROR(SEARCH("High",E106)))</formula>
    </cfRule>
  </conditionalFormatting>
  <conditionalFormatting sqref="E11:E106">
    <cfRule type="containsText" dxfId="6" priority="3" operator="containsText" text="Medium">
      <formula>NOT(ISERROR(SEARCH("Medium",E11)))</formula>
    </cfRule>
  </conditionalFormatting>
  <pageMargins left="0.7" right="0.7" top="0.75" bottom="0.75" header="0.3" footer="0.3"/>
  <tableParts count="4">
    <tablePart r:id="rId1"/>
    <tablePart r:id="rId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Case Study Structure</vt:lpstr>
      <vt:lpstr>Monday Morning Payroll Week 1</vt:lpstr>
      <vt:lpstr>The Overtime Spike Week 3</vt:lpstr>
      <vt:lpstr>Payroll Doesn't Balance Week 5</vt:lpstr>
      <vt:lpstr>Missing Meal Premiums Week 7</vt:lpstr>
      <vt:lpstr>The Bonus Question Week 9</vt:lpstr>
      <vt:lpstr>Employee Says Pay Wrong Week 11</vt:lpstr>
      <vt:lpstr>Executive Payroll Review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Martha Fields-Cypress</dc:creator>
  <cp:lastModifiedBy>Martha Fields-Cypress</cp:lastModifiedBy>
  <dcterms:created xsi:type="dcterms:W3CDTF">2026-08-04T14:33:16Z</dcterms:created>
  <dcterms:modified xsi:type="dcterms:W3CDTF">2026-08-13T22:52:07Z</dcterms:modified>
</cp:coreProperties>
</file>